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ntrolling\"/>
    </mc:Choice>
  </mc:AlternateContent>
  <bookViews>
    <workbookView xWindow="0" yWindow="0" windowWidth="20490" windowHeight="7350"/>
  </bookViews>
  <sheets>
    <sheet name="1.27." sheetId="6" r:id="rId1"/>
    <sheet name="1.fel" sheetId="1" r:id="rId2"/>
    <sheet name="1. fel megoldás" sheetId="2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J5" i="2" s="1"/>
  <c r="I5" i="2"/>
  <c r="L5" i="2"/>
  <c r="M5" i="2"/>
  <c r="P5" i="2"/>
  <c r="B6" i="2"/>
  <c r="C6" i="2"/>
  <c r="D6" i="2"/>
  <c r="E6" i="2"/>
  <c r="F6" i="2"/>
  <c r="G6" i="2"/>
  <c r="J6" i="2" s="1"/>
  <c r="K6" i="2" s="1"/>
  <c r="H6" i="2"/>
  <c r="I6" i="2" s="1"/>
  <c r="L6" i="2"/>
  <c r="M6" i="2" s="1"/>
  <c r="P6" i="2"/>
  <c r="B7" i="2"/>
  <c r="C7" i="2"/>
  <c r="D7" i="2"/>
  <c r="E7" i="2"/>
  <c r="F7" i="2"/>
  <c r="G7" i="2"/>
  <c r="H7" i="2"/>
  <c r="I7" i="2"/>
  <c r="J7" i="2"/>
  <c r="L7" i="2"/>
  <c r="M7" i="2" s="1"/>
  <c r="P7" i="2"/>
  <c r="B8" i="2"/>
  <c r="C8" i="2"/>
  <c r="D8" i="2"/>
  <c r="E8" i="2"/>
  <c r="L8" i="2" s="1"/>
  <c r="M8" i="2" s="1"/>
  <c r="F8" i="2"/>
  <c r="G8" i="2"/>
  <c r="H8" i="2"/>
  <c r="I8" i="2"/>
  <c r="J8" i="2"/>
  <c r="K8" i="2"/>
  <c r="P8" i="2"/>
  <c r="B9" i="2"/>
  <c r="C9" i="2"/>
  <c r="D9" i="2"/>
  <c r="E9" i="2"/>
  <c r="L9" i="2" s="1"/>
  <c r="M9" i="2" s="1"/>
  <c r="F9" i="2"/>
  <c r="G9" i="2"/>
  <c r="H9" i="2"/>
  <c r="I9" i="2"/>
  <c r="J9" i="2"/>
  <c r="K9" i="2" s="1"/>
  <c r="P9" i="2"/>
  <c r="E13" i="2"/>
  <c r="F13" i="2"/>
  <c r="E14" i="2"/>
  <c r="F14" i="2"/>
  <c r="E15" i="2"/>
  <c r="F15" i="2"/>
  <c r="E16" i="2"/>
  <c r="F16" i="2"/>
  <c r="E17" i="2"/>
  <c r="F17" i="2"/>
  <c r="B18" i="2"/>
  <c r="D18" i="2"/>
  <c r="E18" i="2"/>
  <c r="F18" i="2"/>
  <c r="E36" i="2"/>
  <c r="E37" i="2"/>
  <c r="E38" i="2"/>
  <c r="E39" i="2"/>
  <c r="E40" i="2"/>
  <c r="C45" i="2"/>
  <c r="E45" i="2"/>
  <c r="C46" i="2"/>
  <c r="E46" i="2"/>
  <c r="F46" i="2"/>
  <c r="F47" i="2" s="1"/>
  <c r="F48" i="2" s="1"/>
  <c r="F49" i="2" s="1"/>
  <c r="E47" i="2"/>
  <c r="E48" i="2"/>
  <c r="E49" i="2"/>
  <c r="K8" i="6"/>
  <c r="K9" i="6" s="1"/>
  <c r="L8" i="6"/>
  <c r="M8" i="6"/>
  <c r="L9" i="6"/>
  <c r="M9" i="6"/>
  <c r="K16" i="6"/>
  <c r="K17" i="6" s="1"/>
  <c r="K26" i="6"/>
  <c r="N26" i="6" s="1"/>
  <c r="L26" i="6"/>
  <c r="M26" i="6"/>
  <c r="I10" i="2" l="1"/>
  <c r="J12" i="2"/>
  <c r="K5" i="2"/>
  <c r="J10" i="2"/>
  <c r="L10" i="2"/>
  <c r="K19" i="6"/>
  <c r="K18" i="6"/>
  <c r="K20" i="6"/>
  <c r="K21" i="6" s="1"/>
  <c r="D60" i="2" l="1"/>
  <c r="B58" i="2"/>
  <c r="D58" i="2" s="1"/>
  <c r="B59" i="2"/>
  <c r="D59" i="2" s="1"/>
  <c r="E61" i="2" l="1"/>
  <c r="B56" i="2"/>
  <c r="D56" i="2" s="1"/>
  <c r="B57" i="2"/>
  <c r="D57" i="2" s="1"/>
  <c r="D61" i="2" l="1"/>
  <c r="F61" i="2" s="1"/>
  <c r="F50" i="2"/>
  <c r="A51" i="2"/>
  <c r="A52" i="2" s="1"/>
</calcChain>
</file>

<file path=xl/sharedStrings.xml><?xml version="1.0" encoding="utf-8"?>
<sst xmlns="http://schemas.openxmlformats.org/spreadsheetml/2006/main" count="144" uniqueCount="90">
  <si>
    <t>Műanyagfeldolgozó iparban működő Kft. a napi fogyasztói igényt a III. üzemében gyártott ötféle műanyag cikkel elégíti ki.</t>
  </si>
  <si>
    <t>A III. üzemnek a következő időszakban 300.000 EUR általános (fix) költséget kell átvállalnia a központtól, ezenkívül 860.000 EUR rezsiköltség merül fel.</t>
  </si>
  <si>
    <t>A központi számvitelben a központ fix költségeit a következő arányban osztják fel az öt termék (sorrendben) 2:4:3:5:1 között. Az üzemi rezsi (fix) költségeinek felosztási aránya ugyanerre az öt termékre: 1:2:2:4:1.</t>
  </si>
  <si>
    <t>A tervidőszak adatai:</t>
  </si>
  <si>
    <t>Termék</t>
  </si>
  <si>
    <t>1. Az elképzelések kialakítása</t>
  </si>
  <si>
    <t>1.3. A II. műhely egyik csigásprésének meghibásodása szűk keresztmetszetet idéz elő, ezért a maximális értékesítési mennyiséget nem tudják legyártani. A szűk keresztmetszeten az egyes termékek termelési ideje a következőképpen alakul:</t>
  </si>
  <si>
    <t>Munka (ó/db)</t>
  </si>
  <si>
    <t>Az egyes termékekből milyen mennyiséget gyártana, ha a nyereséget szeretné maximalizálni a vizsgált időszakban, és ha 259.000 óra áll rendelkezésre a szűk keresztmetszeten.</t>
  </si>
  <si>
    <t>Ár (p)
EUR/db</t>
  </si>
  <si>
    <t>Változó költség
(Kp) EUR/db</t>
  </si>
  <si>
    <t>Max. ért. Menny
(Xmax) db</t>
  </si>
  <si>
    <t>Ár (EUR/db)</t>
  </si>
  <si>
    <t>Kp (EUR/db)</t>
  </si>
  <si>
    <t>Árbevétel</t>
  </si>
  <si>
    <t>Üzemi Ká</t>
  </si>
  <si>
    <t>Központi fix ktsg Ká</t>
  </si>
  <si>
    <t>Relatív fedezet</t>
  </si>
  <si>
    <t>Termék rangsor</t>
  </si>
  <si>
    <t>Fedezet és relatív fedezet meghatározása
(NY = Árbev-(Kp+Ká) = F - Ká)</t>
  </si>
  <si>
    <t>Σ Kp</t>
  </si>
  <si>
    <t>Max ért.
menny. (db)</t>
  </si>
  <si>
    <t>Központi fix ktsg
Ká</t>
  </si>
  <si>
    <t>Fö
(Árbev-Kp)</t>
  </si>
  <si>
    <t>Fedezeti hányad
(%)</t>
  </si>
  <si>
    <t>Σ Üzemi Ká:</t>
  </si>
  <si>
    <t>Nyereség</t>
  </si>
  <si>
    <t>Σ Nyereség:</t>
  </si>
  <si>
    <t>Nyereség
hányad (%)</t>
  </si>
  <si>
    <t>-</t>
  </si>
  <si>
    <t>Nem vesszük ki a 3. terméket, mert azt kivéve több veszteség lenne.</t>
  </si>
  <si>
    <t>1.2.</t>
  </si>
  <si>
    <t>Szűk keresztmetszet esetén relatív fedezet alapján döntünk.</t>
  </si>
  <si>
    <t>Relatív fedezet = Fedezet / Idő</t>
  </si>
  <si>
    <t>1.3.</t>
  </si>
  <si>
    <t>Σ idő:</t>
  </si>
  <si>
    <t>óra/db</t>
  </si>
  <si>
    <t>Termékek</t>
  </si>
  <si>
    <t>Max. ért. (db)</t>
  </si>
  <si>
    <t>Marad:</t>
  </si>
  <si>
    <t>üzemi Kf</t>
  </si>
  <si>
    <t>Központi Kf</t>
  </si>
  <si>
    <t>össz</t>
  </si>
  <si>
    <t>üzemi Kf/arány</t>
  </si>
  <si>
    <t>"860000/10="</t>
  </si>
  <si>
    <t>Termékek rangsor</t>
  </si>
  <si>
    <t>Eddig felhasznált gépidő</t>
  </si>
  <si>
    <t>nincs ennyi gépidőnk</t>
  </si>
  <si>
    <t>Össz Ká</t>
  </si>
  <si>
    <t>termék</t>
  </si>
  <si>
    <t xml:space="preserve">1.2. A reklám céljára 25.000 EUR-os egyszeri összeg áll rendelkezésre. Az üzemgazdasági osztály azon a véleményen van, hogy a reklám hatása akkor a legnagyobb, ha egyetlen termékre koncentrálódnak a reklámeszközök. Melyik terméket reklámozná, ha a reklámeszközök alkalmazása mindegyik terméknek az előző táblázatban megadott értékesítési adatait </t>
  </si>
  <si>
    <t>a. 15%-kal növelné?</t>
  </si>
  <si>
    <t>b. +10000 db-bal növelné?</t>
  </si>
  <si>
    <t>B</t>
  </si>
  <si>
    <t>C</t>
  </si>
  <si>
    <t>D</t>
  </si>
  <si>
    <t>E</t>
  </si>
  <si>
    <t>A</t>
  </si>
  <si>
    <t>1.1 A központ üzemgazdasági osztálya javasolja, hogy töröljék a termelési programból a C terméket, mégpedig annak érdekében, hogy nagyobb nyereséget érjenek el. Az illetékes termékmenedzser hevesen tiltakozik. Hogyan érvelne Ön?</t>
  </si>
  <si>
    <t>óra a D termék</t>
  </si>
  <si>
    <t>db D termék</t>
  </si>
  <si>
    <t>Fe</t>
  </si>
  <si>
    <t>Normaóra</t>
  </si>
  <si>
    <t>Fedezet</t>
  </si>
  <si>
    <t>Q</t>
  </si>
  <si>
    <t>Fö</t>
  </si>
  <si>
    <t>Kf</t>
  </si>
  <si>
    <t>KpiKf/arány=300000/15=</t>
  </si>
  <si>
    <t>maradék gépidő= 259000-205000</t>
  </si>
  <si>
    <t>a. A legnagyobb fedezeti összeggel bíró terméket kell reklámozni. 4. terméket reklámozom.                 b. A legnagyobb egységnyi fedezettel (fajlagos fedezettel) bíró terméket kell reklámozni, 3.terméket reklámozom</t>
  </si>
  <si>
    <t>Fe Egységnyi (fajlagos) fedezet (EUR/db)</t>
  </si>
  <si>
    <t>Termékrangsor:</t>
  </si>
  <si>
    <t>A termékek jövedelmezőségi sorrendje C, A, B, így érdemes a normaóra kapacitást is ilyen sorrendben kihasználni a piaci lehetőségekig.</t>
  </si>
  <si>
    <t>Ha a piac ezt nem teszi lehetővé, a fedezet növelés ennél csak kisebb lehet.</t>
  </si>
  <si>
    <t>Ez alapján, ha csak a C terméket gyártjuk és tudjuk értékesíteni, az 450.000 fedezet növekedéssel jár.</t>
  </si>
  <si>
    <t>Termélés és értékesítés db</t>
  </si>
  <si>
    <t>Egységnyi fedezet</t>
  </si>
  <si>
    <t>Előző évi fedezet:</t>
  </si>
  <si>
    <t>összes fedezet</t>
  </si>
  <si>
    <t>árbevétel:</t>
  </si>
  <si>
    <t>összes üzemi ált. költség:</t>
  </si>
  <si>
    <t>összes közvetlen költség:</t>
  </si>
  <si>
    <t>"C" termelési mennyiség:</t>
  </si>
  <si>
    <t>Összes normaóra kapacitás</t>
  </si>
  <si>
    <t>Ekkor a fedezeti összeg:</t>
  </si>
  <si>
    <t>Ha a piac megengedi, akkor ezt érdemes gyártani csak.</t>
  </si>
  <si>
    <t>A relatív fedezet alapján a legjövedelmezőbb termék a C termék.</t>
  </si>
  <si>
    <t>Értékesítés ár Ft/db</t>
  </si>
  <si>
    <t>Üzemi általános költség Ft/db</t>
  </si>
  <si>
    <t>Közvetlen költség Ft/db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</si>
</sst>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trike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9" tint="-0.499984740745262"/>
      <name val="Calibri"/>
      <family val="2"/>
      <charset val="238"/>
      <scheme val="minor"/>
    </font>
    <font>
      <b/>
      <u/>
      <sz val="11"/>
      <color theme="9" tint="-0.49998474074526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7" fillId="0" borderId="0"/>
  </cellStyleXfs>
  <cellXfs count="9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NumberFormat="1" applyAlignment="1">
      <alignment horizontal="left" wrapText="1"/>
    </xf>
    <xf numFmtId="0" fontId="0" fillId="0" borderId="5" xfId="0" applyBorder="1"/>
    <xf numFmtId="0" fontId="0" fillId="0" borderId="8" xfId="0" applyBorder="1"/>
    <xf numFmtId="1" fontId="0" fillId="0" borderId="4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0" xfId="0" applyNumberFormat="1"/>
    <xf numFmtId="16" fontId="0" fillId="0" borderId="0" xfId="0" quotePrefix="1" applyNumberFormat="1"/>
    <xf numFmtId="0" fontId="0" fillId="0" borderId="1" xfId="0" applyBorder="1"/>
    <xf numFmtId="0" fontId="0" fillId="0" borderId="12" xfId="0" applyBorder="1" applyAlignment="1">
      <alignment horizontal="center"/>
    </xf>
    <xf numFmtId="0" fontId="0" fillId="0" borderId="7" xfId="0" applyBorder="1"/>
    <xf numFmtId="3" fontId="0" fillId="0" borderId="8" xfId="0" applyNumberFormat="1" applyBorder="1"/>
    <xf numFmtId="0" fontId="0" fillId="0" borderId="4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7" xfId="0" applyNumberFormat="1" applyBorder="1"/>
    <xf numFmtId="0" fontId="0" fillId="0" borderId="12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/>
    </xf>
    <xf numFmtId="10" fontId="0" fillId="0" borderId="4" xfId="1" applyNumberFormat="1" applyFont="1" applyBorder="1"/>
    <xf numFmtId="10" fontId="0" fillId="0" borderId="4" xfId="1" applyNumberFormat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0" fontId="0" fillId="0" borderId="7" xfId="1" applyNumberFormat="1" applyFont="1" applyBorder="1"/>
    <xf numFmtId="0" fontId="0" fillId="0" borderId="4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16" xfId="0" applyFill="1" applyBorder="1"/>
    <xf numFmtId="0" fontId="0" fillId="0" borderId="16" xfId="0" applyFont="1" applyFill="1" applyBorder="1"/>
    <xf numFmtId="164" fontId="4" fillId="0" borderId="17" xfId="0" applyNumberFormat="1" applyFont="1" applyBorder="1"/>
    <xf numFmtId="3" fontId="4" fillId="0" borderId="18" xfId="0" applyNumberFormat="1" applyFont="1" applyFill="1" applyBorder="1"/>
    <xf numFmtId="3" fontId="4" fillId="0" borderId="0" xfId="0" applyNumberFormat="1" applyFont="1"/>
    <xf numFmtId="3" fontId="0" fillId="0" borderId="19" xfId="0" applyNumberFormat="1" applyFill="1" applyBorder="1"/>
    <xf numFmtId="0" fontId="0" fillId="0" borderId="0" xfId="0" applyFill="1" applyBorder="1"/>
    <xf numFmtId="0" fontId="3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3"/>
    <xf numFmtId="0" fontId="7" fillId="0" borderId="23" xfId="3" applyBorder="1"/>
    <xf numFmtId="0" fontId="8" fillId="0" borderId="0" xfId="3" applyFont="1"/>
    <xf numFmtId="0" fontId="7" fillId="0" borderId="14" xfId="3" applyBorder="1"/>
    <xf numFmtId="0" fontId="6" fillId="0" borderId="24" xfId="3" applyFont="1" applyBorder="1"/>
    <xf numFmtId="0" fontId="7" fillId="0" borderId="25" xfId="3" applyBorder="1"/>
    <xf numFmtId="0" fontId="7" fillId="0" borderId="0" xfId="3" applyBorder="1" applyAlignment="1">
      <alignment horizontal="right"/>
    </xf>
    <xf numFmtId="0" fontId="7" fillId="0" borderId="19" xfId="3" applyBorder="1"/>
    <xf numFmtId="0" fontId="7" fillId="0" borderId="19" xfId="3" applyBorder="1" applyAlignment="1">
      <alignment horizontal="left"/>
    </xf>
    <xf numFmtId="0" fontId="7" fillId="0" borderId="26" xfId="3" applyBorder="1"/>
    <xf numFmtId="0" fontId="7" fillId="0" borderId="27" xfId="3" applyBorder="1" applyAlignment="1">
      <alignment horizontal="center"/>
    </xf>
    <xf numFmtId="0" fontId="7" fillId="0" borderId="28" xfId="3" applyBorder="1"/>
    <xf numFmtId="0" fontId="10" fillId="0" borderId="0" xfId="3" applyFont="1"/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0" xfId="3" applyFont="1"/>
    <xf numFmtId="0" fontId="11" fillId="0" borderId="4" xfId="3" applyFont="1" applyBorder="1"/>
    <xf numFmtId="0" fontId="12" fillId="0" borderId="4" xfId="3" applyFont="1" applyBorder="1"/>
    <xf numFmtId="0" fontId="10" fillId="0" borderId="0" xfId="3" applyFont="1" applyAlignment="1">
      <alignment horizontal="right"/>
    </xf>
    <xf numFmtId="0" fontId="7" fillId="0" borderId="0" xfId="3" applyAlignment="1">
      <alignment horizontal="right"/>
    </xf>
    <xf numFmtId="0" fontId="13" fillId="0" borderId="0" xfId="3" applyFont="1"/>
    <xf numFmtId="0" fontId="7" fillId="0" borderId="0" xfId="3" applyAlignment="1">
      <alignment horizontal="center"/>
    </xf>
    <xf numFmtId="0" fontId="7" fillId="0" borderId="0" xfId="3" applyAlignment="1">
      <alignment horizontal="center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3" fontId="0" fillId="0" borderId="29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</cellXfs>
  <cellStyles count="4">
    <cellStyle name="Normál" xfId="0" builtinId="0"/>
    <cellStyle name="Normál 2" xfId="2"/>
    <cellStyle name="Normál 3" xfId="3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57143" cy="3914286"/>
    <xdr:pic>
      <xdr:nvPicPr>
        <xdr:cNvPr id="2" name="Kép 1">
          <a:extLst>
            <a:ext uri="{FF2B5EF4-FFF2-40B4-BE49-F238E27FC236}">
              <a16:creationId xmlns:a16="http://schemas.microsoft.com/office/drawing/2014/main" id="{3AF9E671-4E88-4E53-9A55-99B47593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57143" cy="391428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NES~1\AppData\Local\Temp\4_gyak_megoldas2010_kat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ladat"/>
      <sheetName val="Megoldás"/>
    </sheetNames>
    <sheetDataSet>
      <sheetData sheetId="0">
        <row r="31">
          <cell r="B31">
            <v>4.5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J1:R29"/>
  <sheetViews>
    <sheetView tabSelected="1" workbookViewId="0">
      <selection activeCell="F22" sqref="F22"/>
    </sheetView>
  </sheetViews>
  <sheetFormatPr defaultRowHeight="15" x14ac:dyDescent="0.25"/>
  <cols>
    <col min="1" max="9" width="9.140625" style="58"/>
    <col min="10" max="10" width="27.7109375" style="58" bestFit="1" customWidth="1"/>
    <col min="11" max="14" width="9.140625" style="58"/>
    <col min="15" max="15" width="14.140625" style="58" customWidth="1"/>
    <col min="16" max="16" width="5.7109375" style="58" customWidth="1"/>
    <col min="17" max="16384" width="9.140625" style="58"/>
  </cols>
  <sheetData>
    <row r="1" spans="10:18" x14ac:dyDescent="0.25">
      <c r="K1" s="79" t="s">
        <v>57</v>
      </c>
      <c r="L1" s="79" t="s">
        <v>53</v>
      </c>
      <c r="M1" s="79" t="s">
        <v>54</v>
      </c>
    </row>
    <row r="2" spans="10:18" x14ac:dyDescent="0.25">
      <c r="K2" s="80" t="s">
        <v>49</v>
      </c>
      <c r="L2" s="80"/>
      <c r="M2" s="80"/>
      <c r="O2" s="78"/>
      <c r="P2" s="70"/>
      <c r="Q2" s="70"/>
      <c r="R2" s="70"/>
    </row>
    <row r="3" spans="10:18" x14ac:dyDescent="0.25">
      <c r="J3" s="58" t="s">
        <v>75</v>
      </c>
      <c r="K3" s="77">
        <v>1500</v>
      </c>
      <c r="L3" s="77">
        <v>3000</v>
      </c>
      <c r="M3" s="77">
        <v>1000</v>
      </c>
      <c r="O3" s="70"/>
      <c r="P3" s="76"/>
      <c r="Q3" s="76"/>
      <c r="R3" s="76"/>
    </row>
    <row r="4" spans="10:18" x14ac:dyDescent="0.25">
      <c r="J4" s="58" t="s">
        <v>89</v>
      </c>
      <c r="K4" s="58">
        <v>200</v>
      </c>
      <c r="L4" s="58">
        <v>150</v>
      </c>
      <c r="M4" s="58">
        <v>300</v>
      </c>
      <c r="O4" s="70"/>
      <c r="P4" s="70"/>
      <c r="Q4" s="70"/>
      <c r="R4" s="70"/>
    </row>
    <row r="5" spans="10:18" x14ac:dyDescent="0.25">
      <c r="J5" s="58" t="s">
        <v>88</v>
      </c>
      <c r="K5" s="58">
        <v>50</v>
      </c>
      <c r="L5" s="58">
        <v>100</v>
      </c>
      <c r="M5" s="58">
        <v>50</v>
      </c>
      <c r="O5" s="70"/>
      <c r="P5" s="70"/>
      <c r="Q5" s="70"/>
      <c r="R5" s="70"/>
    </row>
    <row r="6" spans="10:18" x14ac:dyDescent="0.25">
      <c r="J6" s="58" t="s">
        <v>87</v>
      </c>
      <c r="K6" s="58">
        <v>300</v>
      </c>
      <c r="L6" s="58">
        <v>300</v>
      </c>
      <c r="M6" s="58">
        <v>500</v>
      </c>
      <c r="O6" s="70"/>
      <c r="P6" s="70"/>
      <c r="Q6" s="70"/>
      <c r="R6" s="70"/>
    </row>
    <row r="7" spans="10:18" x14ac:dyDescent="0.25">
      <c r="J7" s="58" t="s">
        <v>62</v>
      </c>
      <c r="K7" s="58">
        <v>4</v>
      </c>
      <c r="L7" s="58">
        <v>10</v>
      </c>
      <c r="M7" s="58">
        <v>8</v>
      </c>
      <c r="O7" s="70"/>
      <c r="P7" s="70"/>
      <c r="Q7" s="70"/>
      <c r="R7" s="70"/>
    </row>
    <row r="8" spans="10:18" x14ac:dyDescent="0.25">
      <c r="J8" s="70" t="s">
        <v>76</v>
      </c>
      <c r="K8" s="70">
        <f>K6-K4-K5</f>
        <v>50</v>
      </c>
      <c r="L8" s="70">
        <f>L6-L4-L5</f>
        <v>50</v>
      </c>
      <c r="M8" s="70">
        <f>M6-M4-M5</f>
        <v>150</v>
      </c>
      <c r="N8" s="71"/>
      <c r="O8" s="70"/>
      <c r="P8" s="70"/>
      <c r="Q8" s="70"/>
      <c r="R8" s="70"/>
    </row>
    <row r="9" spans="10:18" x14ac:dyDescent="0.25">
      <c r="J9" s="70" t="s">
        <v>17</v>
      </c>
      <c r="K9" s="70">
        <f>K8/K7</f>
        <v>12.5</v>
      </c>
      <c r="L9" s="70">
        <f>L8/L7</f>
        <v>5</v>
      </c>
      <c r="M9" s="75">
        <f>M8/M7</f>
        <v>18.75</v>
      </c>
      <c r="N9" s="71"/>
      <c r="R9" s="70"/>
    </row>
    <row r="10" spans="10:18" x14ac:dyDescent="0.25">
      <c r="J10" s="60" t="s">
        <v>71</v>
      </c>
      <c r="K10" s="71">
        <v>2</v>
      </c>
      <c r="L10" s="71">
        <v>3</v>
      </c>
      <c r="M10" s="74">
        <v>1</v>
      </c>
      <c r="N10" s="71"/>
    </row>
    <row r="12" spans="10:18" x14ac:dyDescent="0.25">
      <c r="J12" s="58" t="s">
        <v>86</v>
      </c>
      <c r="O12" s="71"/>
    </row>
    <row r="13" spans="10:18" x14ac:dyDescent="0.25">
      <c r="J13" s="58" t="s">
        <v>85</v>
      </c>
    </row>
    <row r="14" spans="10:18" x14ac:dyDescent="0.25">
      <c r="J14" s="58" t="s">
        <v>84</v>
      </c>
    </row>
    <row r="16" spans="10:18" x14ac:dyDescent="0.25">
      <c r="J16" s="58" t="s">
        <v>83</v>
      </c>
      <c r="K16" s="58">
        <f>SUMPRODUCT(K7:M7,K3:M3)</f>
        <v>44000</v>
      </c>
      <c r="M16" s="71"/>
      <c r="Q16" s="70"/>
    </row>
    <row r="17" spans="10:18" x14ac:dyDescent="0.25">
      <c r="J17" s="58" t="s">
        <v>82</v>
      </c>
      <c r="K17" s="58">
        <f>K16/M7</f>
        <v>5500</v>
      </c>
      <c r="M17" s="71"/>
      <c r="N17" s="71"/>
      <c r="Q17" s="70"/>
      <c r="R17" s="70"/>
    </row>
    <row r="18" spans="10:18" x14ac:dyDescent="0.25">
      <c r="J18" s="58" t="s">
        <v>81</v>
      </c>
      <c r="K18" s="58">
        <f>M4*K17</f>
        <v>1650000</v>
      </c>
      <c r="M18" s="71"/>
      <c r="N18" s="71"/>
      <c r="Q18" s="70"/>
      <c r="R18" s="70"/>
    </row>
    <row r="19" spans="10:18" x14ac:dyDescent="0.25">
      <c r="J19" s="58" t="s">
        <v>80</v>
      </c>
      <c r="K19" s="58">
        <f>K5*K17</f>
        <v>275000</v>
      </c>
      <c r="M19" s="71"/>
      <c r="N19" s="71"/>
      <c r="Q19" s="70"/>
      <c r="R19" s="70"/>
    </row>
    <row r="20" spans="10:18" x14ac:dyDescent="0.25">
      <c r="J20" s="58" t="s">
        <v>79</v>
      </c>
      <c r="K20" s="58">
        <f>K17*M6</f>
        <v>2750000</v>
      </c>
      <c r="M20" s="71"/>
      <c r="N20" s="71"/>
      <c r="Q20" s="70"/>
      <c r="R20" s="70"/>
    </row>
    <row r="21" spans="10:18" x14ac:dyDescent="0.25">
      <c r="J21" s="58" t="s">
        <v>78</v>
      </c>
      <c r="K21" s="73">
        <f>K20-K19-K18</f>
        <v>825000</v>
      </c>
      <c r="L21" s="72"/>
      <c r="M21" s="71"/>
      <c r="N21" s="71"/>
      <c r="Q21" s="70"/>
      <c r="R21" s="70"/>
    </row>
    <row r="23" spans="10:18" x14ac:dyDescent="0.25">
      <c r="J23" s="69" t="s">
        <v>77</v>
      </c>
      <c r="K23" s="68" t="s">
        <v>57</v>
      </c>
      <c r="L23" s="68" t="s">
        <v>53</v>
      </c>
      <c r="M23" s="68" t="s">
        <v>54</v>
      </c>
      <c r="N23" s="67"/>
    </row>
    <row r="24" spans="10:18" x14ac:dyDescent="0.25">
      <c r="J24" s="66" t="s">
        <v>76</v>
      </c>
      <c r="K24" s="64">
        <v>50</v>
      </c>
      <c r="L24" s="64">
        <v>50</v>
      </c>
      <c r="M24" s="64">
        <v>150</v>
      </c>
      <c r="N24" s="59"/>
    </row>
    <row r="25" spans="10:18" x14ac:dyDescent="0.25">
      <c r="J25" s="65" t="s">
        <v>75</v>
      </c>
      <c r="K25" s="64">
        <v>1500</v>
      </c>
      <c r="L25" s="64">
        <v>3000</v>
      </c>
      <c r="M25" s="64">
        <v>1000</v>
      </c>
      <c r="N25" s="59"/>
    </row>
    <row r="26" spans="10:18" x14ac:dyDescent="0.25">
      <c r="J26" s="63" t="s">
        <v>63</v>
      </c>
      <c r="K26" s="61">
        <f>K24*K25</f>
        <v>75000</v>
      </c>
      <c r="L26" s="61">
        <f>L24*L25</f>
        <v>150000</v>
      </c>
      <c r="M26" s="61">
        <f>M24*M25</f>
        <v>150000</v>
      </c>
      <c r="N26" s="62">
        <f>SUM(K26:M26)</f>
        <v>375000</v>
      </c>
    </row>
    <row r="27" spans="10:18" x14ac:dyDescent="0.25">
      <c r="J27" s="58" t="s">
        <v>74</v>
      </c>
    </row>
    <row r="28" spans="10:18" x14ac:dyDescent="0.25">
      <c r="J28" s="58" t="s">
        <v>73</v>
      </c>
    </row>
    <row r="29" spans="10:18" x14ac:dyDescent="0.25">
      <c r="J29" s="58" t="s">
        <v>72</v>
      </c>
    </row>
  </sheetData>
  <mergeCells count="1">
    <mergeCell ref="K2:M2"/>
  </mergeCells>
  <pageMargins left="0.25" right="0.25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8"/>
  <sheetViews>
    <sheetView workbookViewId="0">
      <selection sqref="A1:L37"/>
    </sheetView>
  </sheetViews>
  <sheetFormatPr defaultRowHeight="12.75" x14ac:dyDescent="0.2"/>
  <cols>
    <col min="1" max="1" width="12.5703125" customWidth="1"/>
    <col min="2" max="2" width="20.7109375" customWidth="1"/>
    <col min="3" max="4" width="14.85546875" customWidth="1"/>
    <col min="12" max="12" width="4.28515625" customWidth="1"/>
  </cols>
  <sheetData>
    <row r="2" spans="1:12" x14ac:dyDescent="0.2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2" x14ac:dyDescent="0.2">
      <c r="A3" s="83" t="s">
        <v>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2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2" x14ac:dyDescent="0.2">
      <c r="A5" s="83" t="s">
        <v>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2" x14ac:dyDescent="0.2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</row>
    <row r="7" spans="1:12" ht="13.5" thickBot="1" x14ac:dyDescent="0.25"/>
    <row r="8" spans="1:12" ht="13.5" thickBot="1" x14ac:dyDescent="0.25">
      <c r="A8" s="84" t="s">
        <v>3</v>
      </c>
      <c r="B8" s="85"/>
      <c r="C8" s="85"/>
      <c r="D8" s="86"/>
    </row>
    <row r="9" spans="1:12" ht="25.5" customHeight="1" x14ac:dyDescent="0.2">
      <c r="A9" s="10" t="s">
        <v>4</v>
      </c>
      <c r="B9" s="11" t="s">
        <v>9</v>
      </c>
      <c r="C9" s="11" t="s">
        <v>10</v>
      </c>
      <c r="D9" s="12" t="s">
        <v>11</v>
      </c>
    </row>
    <row r="10" spans="1:12" x14ac:dyDescent="0.2">
      <c r="A10" s="4" t="s">
        <v>57</v>
      </c>
      <c r="B10" s="16">
        <v>20</v>
      </c>
      <c r="C10" s="16">
        <v>12</v>
      </c>
      <c r="D10" s="18">
        <v>25000</v>
      </c>
    </row>
    <row r="11" spans="1:12" x14ac:dyDescent="0.2">
      <c r="A11" s="4" t="s">
        <v>53</v>
      </c>
      <c r="B11" s="16">
        <v>18</v>
      </c>
      <c r="C11" s="16">
        <v>8</v>
      </c>
      <c r="D11" s="18">
        <v>30000</v>
      </c>
    </row>
    <row r="12" spans="1:12" x14ac:dyDescent="0.2">
      <c r="A12" s="4" t="s">
        <v>54</v>
      </c>
      <c r="B12" s="16">
        <v>22</v>
      </c>
      <c r="C12" s="16">
        <v>10</v>
      </c>
      <c r="D12" s="18">
        <v>15000</v>
      </c>
    </row>
    <row r="13" spans="1:12" x14ac:dyDescent="0.2">
      <c r="A13" s="4" t="s">
        <v>55</v>
      </c>
      <c r="B13" s="16">
        <v>15</v>
      </c>
      <c r="C13" s="16">
        <v>6</v>
      </c>
      <c r="D13" s="18">
        <v>50000</v>
      </c>
    </row>
    <row r="14" spans="1:12" ht="13.5" thickBot="1" x14ac:dyDescent="0.25">
      <c r="A14" s="7" t="s">
        <v>56</v>
      </c>
      <c r="B14" s="17">
        <v>10</v>
      </c>
      <c r="C14" s="17">
        <v>4</v>
      </c>
      <c r="D14" s="19">
        <v>35000</v>
      </c>
    </row>
    <row r="15" spans="1:12" x14ac:dyDescent="0.2">
      <c r="A15" t="s">
        <v>5</v>
      </c>
    </row>
    <row r="16" spans="1:12" x14ac:dyDescent="0.2">
      <c r="A16" s="83" t="s">
        <v>58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1:12" x14ac:dyDescent="0.2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2">
      <c r="A19" s="81" t="s">
        <v>50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</row>
    <row r="20" spans="1:12" x14ac:dyDescent="0.2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</row>
    <row r="21" spans="1:12" x14ac:dyDescent="0.2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</row>
    <row r="22" spans="1:12" ht="15.75" customHeight="1" x14ac:dyDescent="0.2">
      <c r="A22" s="81" t="s">
        <v>51</v>
      </c>
      <c r="B22" s="81"/>
      <c r="C22" s="81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15.75" customHeight="1" x14ac:dyDescent="0.2">
      <c r="A23" s="81" t="s">
        <v>52</v>
      </c>
      <c r="B23" s="81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83" t="s">
        <v>6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</row>
    <row r="25" spans="1:12" ht="13.5" thickBot="1" x14ac:dyDescent="0.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</row>
    <row r="26" spans="1:12" x14ac:dyDescent="0.2">
      <c r="A26" s="3" t="s">
        <v>4</v>
      </c>
      <c r="B26" s="56" t="s">
        <v>7</v>
      </c>
    </row>
    <row r="27" spans="1:12" x14ac:dyDescent="0.2">
      <c r="A27" s="4" t="s">
        <v>57</v>
      </c>
      <c r="B27" s="6">
        <v>2</v>
      </c>
    </row>
    <row r="28" spans="1:12" x14ac:dyDescent="0.2">
      <c r="A28" s="4" t="s">
        <v>53</v>
      </c>
      <c r="B28" s="6">
        <v>2</v>
      </c>
    </row>
    <row r="29" spans="1:12" x14ac:dyDescent="0.2">
      <c r="A29" s="4" t="s">
        <v>54</v>
      </c>
      <c r="B29" s="6">
        <v>4</v>
      </c>
    </row>
    <row r="30" spans="1:12" x14ac:dyDescent="0.2">
      <c r="A30" s="4" t="s">
        <v>55</v>
      </c>
      <c r="B30" s="6">
        <v>4.5</v>
      </c>
    </row>
    <row r="31" spans="1:12" ht="13.5" thickBot="1" x14ac:dyDescent="0.25">
      <c r="A31" s="7" t="s">
        <v>56</v>
      </c>
      <c r="B31" s="9">
        <v>1</v>
      </c>
    </row>
    <row r="32" spans="1:12" x14ac:dyDescent="0.2">
      <c r="A32" s="83" t="s">
        <v>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</row>
    <row r="33" spans="1:12" x14ac:dyDescent="0.2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</row>
    <row r="37" spans="1:12" ht="20.25" customHeight="1" x14ac:dyDescent="0.2"/>
    <row r="38" spans="1:12" ht="31.5" customHeight="1" x14ac:dyDescent="0.2"/>
    <row r="39" spans="1:12" ht="31.5" customHeight="1" x14ac:dyDescent="0.2"/>
    <row r="40" spans="1:12" ht="31.5" customHeight="1" x14ac:dyDescent="0.2"/>
    <row r="41" spans="1:12" ht="31.5" customHeight="1" x14ac:dyDescent="0.2"/>
    <row r="48" spans="1:12" ht="12.75" customHeight="1" x14ac:dyDescent="0.2"/>
  </sheetData>
  <mergeCells count="10">
    <mergeCell ref="A23:B23"/>
    <mergeCell ref="A2:L2"/>
    <mergeCell ref="A3:L4"/>
    <mergeCell ref="A24:L25"/>
    <mergeCell ref="A32:L33"/>
    <mergeCell ref="A5:L6"/>
    <mergeCell ref="A8:D8"/>
    <mergeCell ref="A16:L17"/>
    <mergeCell ref="A19:L21"/>
    <mergeCell ref="A22:C22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106"/>
  <sheetViews>
    <sheetView workbookViewId="0">
      <selection activeCell="A21" sqref="A21:D21"/>
    </sheetView>
  </sheetViews>
  <sheetFormatPr defaultRowHeight="12.75" x14ac:dyDescent="0.2"/>
  <cols>
    <col min="1" max="1" width="11.140625" customWidth="1"/>
    <col min="2" max="2" width="12.42578125" customWidth="1"/>
    <col min="3" max="3" width="15.140625" customWidth="1"/>
    <col min="4" max="4" width="13.28515625" customWidth="1"/>
    <col min="5" max="5" width="11.7109375" customWidth="1"/>
    <col min="6" max="6" width="11.42578125" customWidth="1"/>
    <col min="7" max="7" width="11.7109375" customWidth="1"/>
    <col min="8" max="8" width="8.28515625" customWidth="1"/>
    <col min="9" max="9" width="9" customWidth="1"/>
    <col min="10" max="10" width="10.7109375" customWidth="1"/>
    <col min="11" max="11" width="8.140625" customWidth="1"/>
    <col min="12" max="12" width="9.5703125" customWidth="1"/>
    <col min="13" max="13" width="8.28515625" customWidth="1"/>
    <col min="14" max="14" width="7.42578125" customWidth="1"/>
    <col min="15" max="15" width="5" customWidth="1"/>
    <col min="16" max="16" width="5.140625" customWidth="1"/>
    <col min="18" max="18" width="7.140625" customWidth="1"/>
  </cols>
  <sheetData>
    <row r="2" spans="1:18" ht="12.75" customHeight="1" x14ac:dyDescent="0.2">
      <c r="A2" s="87" t="s">
        <v>19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</row>
    <row r="3" spans="1:18" ht="13.5" thickBot="1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8" s="2" customFormat="1" ht="51" x14ac:dyDescent="0.2">
      <c r="A4" s="53" t="s">
        <v>4</v>
      </c>
      <c r="B4" s="30" t="s">
        <v>12</v>
      </c>
      <c r="C4" s="30" t="s">
        <v>13</v>
      </c>
      <c r="D4" s="30" t="s">
        <v>21</v>
      </c>
      <c r="E4" s="30" t="s">
        <v>14</v>
      </c>
      <c r="F4" s="30" t="s">
        <v>20</v>
      </c>
      <c r="G4" s="30" t="s">
        <v>15</v>
      </c>
      <c r="H4" s="30" t="s">
        <v>22</v>
      </c>
      <c r="I4" s="30" t="s">
        <v>48</v>
      </c>
      <c r="J4" s="30" t="s">
        <v>26</v>
      </c>
      <c r="K4" s="30" t="s">
        <v>28</v>
      </c>
      <c r="L4" s="30" t="s">
        <v>23</v>
      </c>
      <c r="M4" s="30" t="s">
        <v>24</v>
      </c>
      <c r="N4" s="30"/>
      <c r="O4" s="54"/>
      <c r="P4" s="36" t="s">
        <v>61</v>
      </c>
      <c r="Q4" s="36"/>
      <c r="R4" s="36"/>
    </row>
    <row r="5" spans="1:18" x14ac:dyDescent="0.2">
      <c r="A5" s="4" t="s">
        <v>57</v>
      </c>
      <c r="B5" s="5">
        <f>'1.fel'!B10</f>
        <v>20</v>
      </c>
      <c r="C5" s="5">
        <f>'1.fel'!C10</f>
        <v>12</v>
      </c>
      <c r="D5" s="31">
        <f>'1.fel'!D10</f>
        <v>25000</v>
      </c>
      <c r="E5" s="27">
        <f>B5*D5</f>
        <v>500000</v>
      </c>
      <c r="F5" s="27">
        <f>C5*D5</f>
        <v>300000</v>
      </c>
      <c r="G5" s="27">
        <f>B13*A$12/B$18</f>
        <v>86000</v>
      </c>
      <c r="H5" s="27">
        <f>D13*C$12/D$18</f>
        <v>40000</v>
      </c>
      <c r="I5" s="27">
        <f>H5+G5</f>
        <v>126000</v>
      </c>
      <c r="J5" s="27">
        <f>E5-F5-(G5+H5)</f>
        <v>74000</v>
      </c>
      <c r="K5" s="32">
        <f>J5/E5</f>
        <v>0.14799999999999999</v>
      </c>
      <c r="L5" s="27">
        <f>E5-F5</f>
        <v>200000</v>
      </c>
      <c r="M5" s="32">
        <f>L5/E5</f>
        <v>0.4</v>
      </c>
      <c r="N5" s="26"/>
      <c r="O5" s="26"/>
      <c r="P5" s="26">
        <f>B5-C5</f>
        <v>8</v>
      </c>
      <c r="Q5" s="26"/>
      <c r="R5" s="26"/>
    </row>
    <row r="6" spans="1:18" x14ac:dyDescent="0.2">
      <c r="A6" s="4" t="s">
        <v>53</v>
      </c>
      <c r="B6" s="5">
        <f>'1.fel'!B11</f>
        <v>18</v>
      </c>
      <c r="C6" s="5">
        <f>'1.fel'!C11</f>
        <v>8</v>
      </c>
      <c r="D6" s="31">
        <f>'1.fel'!D11</f>
        <v>30000</v>
      </c>
      <c r="E6" s="27">
        <f>B6*D6</f>
        <v>540000</v>
      </c>
      <c r="F6" s="27">
        <f>C6*D6</f>
        <v>240000</v>
      </c>
      <c r="G6" s="27">
        <f>B14*A$12/B$18</f>
        <v>172000</v>
      </c>
      <c r="H6" s="27">
        <f>D14*C$12/D$18</f>
        <v>80000</v>
      </c>
      <c r="I6" s="27">
        <f>H6+G6</f>
        <v>252000</v>
      </c>
      <c r="J6" s="27">
        <f>E6-F6-(G6+H6)</f>
        <v>48000</v>
      </c>
      <c r="K6" s="32">
        <f>J6/E6</f>
        <v>8.8888888888888892E-2</v>
      </c>
      <c r="L6" s="27">
        <f>E6-F6</f>
        <v>300000</v>
      </c>
      <c r="M6" s="32">
        <f>L6/E6</f>
        <v>0.55555555555555558</v>
      </c>
      <c r="N6" s="26"/>
      <c r="O6" s="26"/>
      <c r="P6" s="26">
        <f>B6-C6</f>
        <v>10</v>
      </c>
      <c r="Q6" s="26"/>
      <c r="R6" s="26"/>
    </row>
    <row r="7" spans="1:18" x14ac:dyDescent="0.2">
      <c r="A7" s="4" t="s">
        <v>54</v>
      </c>
      <c r="B7" s="5">
        <f>'1.fel'!B12</f>
        <v>22</v>
      </c>
      <c r="C7" s="5">
        <f>'1.fel'!C12</f>
        <v>10</v>
      </c>
      <c r="D7" s="31">
        <f>'1.fel'!D12</f>
        <v>15000</v>
      </c>
      <c r="E7" s="27">
        <f>B7*D7</f>
        <v>330000</v>
      </c>
      <c r="F7" s="27">
        <f>C7*D7</f>
        <v>150000</v>
      </c>
      <c r="G7" s="27">
        <f>B15*A$12/B$18</f>
        <v>172000</v>
      </c>
      <c r="H7" s="27">
        <f>D15*C$12/D$18</f>
        <v>60000</v>
      </c>
      <c r="I7" s="27">
        <f>H7+G7</f>
        <v>232000</v>
      </c>
      <c r="J7" s="27">
        <f>E7-F7-(G7+H7)</f>
        <v>-52000</v>
      </c>
      <c r="K7" s="33" t="s">
        <v>29</v>
      </c>
      <c r="L7" s="27">
        <f>E7-F7</f>
        <v>180000</v>
      </c>
      <c r="M7" s="32">
        <f>L7/E7</f>
        <v>0.54545454545454541</v>
      </c>
      <c r="N7" s="26"/>
      <c r="O7" s="26"/>
      <c r="P7" s="26">
        <f>B7-C7</f>
        <v>12</v>
      </c>
      <c r="Q7" s="26"/>
      <c r="R7" s="26"/>
    </row>
    <row r="8" spans="1:18" x14ac:dyDescent="0.2">
      <c r="A8" s="4" t="s">
        <v>55</v>
      </c>
      <c r="B8" s="5">
        <f>'1.fel'!B13</f>
        <v>15</v>
      </c>
      <c r="C8" s="5">
        <f>'1.fel'!C13</f>
        <v>6</v>
      </c>
      <c r="D8" s="31">
        <f>'1.fel'!D13</f>
        <v>50000</v>
      </c>
      <c r="E8" s="27">
        <f>B8*D8</f>
        <v>750000</v>
      </c>
      <c r="F8" s="27">
        <f>C8*D8</f>
        <v>300000</v>
      </c>
      <c r="G8" s="27">
        <f>B16*A$12/B$18</f>
        <v>344000</v>
      </c>
      <c r="H8" s="27">
        <f>D16*C$12/D$18</f>
        <v>100000</v>
      </c>
      <c r="I8" s="27">
        <f>H8+G8</f>
        <v>444000</v>
      </c>
      <c r="J8" s="27">
        <f>E8-F8-(G8+H8)</f>
        <v>6000</v>
      </c>
      <c r="K8" s="32">
        <f>J8/E8</f>
        <v>8.0000000000000002E-3</v>
      </c>
      <c r="L8" s="27">
        <f>E8-F8</f>
        <v>450000</v>
      </c>
      <c r="M8" s="32">
        <f>L8/E8</f>
        <v>0.6</v>
      </c>
      <c r="N8" s="26"/>
      <c r="O8" s="26"/>
      <c r="P8" s="26">
        <f>B8-C8</f>
        <v>9</v>
      </c>
      <c r="Q8" s="26"/>
      <c r="R8" s="26"/>
    </row>
    <row r="9" spans="1:18" ht="13.5" thickBot="1" x14ac:dyDescent="0.25">
      <c r="A9" s="7" t="s">
        <v>56</v>
      </c>
      <c r="B9" s="8">
        <f>'1.fel'!B14</f>
        <v>10</v>
      </c>
      <c r="C9" s="8">
        <f>'1.fel'!C14</f>
        <v>4</v>
      </c>
      <c r="D9" s="34">
        <f>'1.fel'!D14</f>
        <v>35000</v>
      </c>
      <c r="E9" s="29">
        <f>B9*D9</f>
        <v>350000</v>
      </c>
      <c r="F9" s="29">
        <f>C9*D9</f>
        <v>140000</v>
      </c>
      <c r="G9" s="29">
        <f>B17*A$12/B$18</f>
        <v>86000</v>
      </c>
      <c r="H9" s="29">
        <f>D17*C$12/D$18</f>
        <v>20000</v>
      </c>
      <c r="I9" s="27">
        <f>H9+G9</f>
        <v>106000</v>
      </c>
      <c r="J9" s="29">
        <f>E9-F9-(G9+H9)</f>
        <v>104000</v>
      </c>
      <c r="K9" s="35">
        <f>J9/E9</f>
        <v>0.29714285714285715</v>
      </c>
      <c r="L9" s="29">
        <f>E9-F9</f>
        <v>210000</v>
      </c>
      <c r="M9" s="35">
        <f>L9/E9</f>
        <v>0.6</v>
      </c>
      <c r="N9" s="24"/>
      <c r="O9" s="26"/>
      <c r="P9" s="26">
        <f>B9-C9</f>
        <v>6</v>
      </c>
      <c r="Q9" s="26"/>
      <c r="R9" s="26"/>
    </row>
    <row r="10" spans="1:18" ht="13.5" thickBot="1" x14ac:dyDescent="0.25">
      <c r="I10" s="20">
        <f>SUM(I5:I9)</f>
        <v>1160000</v>
      </c>
      <c r="J10" s="20">
        <f>SUM(J5:J9)</f>
        <v>180000</v>
      </c>
      <c r="L10" s="20">
        <f>SUM(L5:L9)</f>
        <v>1340000</v>
      </c>
    </row>
    <row r="11" spans="1:18" x14ac:dyDescent="0.2">
      <c r="A11" s="88" t="s">
        <v>25</v>
      </c>
      <c r="B11" s="89"/>
      <c r="C11" s="92" t="s">
        <v>16</v>
      </c>
      <c r="D11" s="93"/>
      <c r="F11" s="37"/>
      <c r="J11" t="s">
        <v>27</v>
      </c>
      <c r="K11" s="20"/>
    </row>
    <row r="12" spans="1:18" x14ac:dyDescent="0.2">
      <c r="A12" s="90">
        <v>860000</v>
      </c>
      <c r="B12" s="91"/>
      <c r="C12" s="90">
        <v>300000</v>
      </c>
      <c r="D12" s="91"/>
      <c r="E12" s="37" t="s">
        <v>40</v>
      </c>
      <c r="F12" s="37" t="s">
        <v>41</v>
      </c>
      <c r="G12" s="37"/>
      <c r="J12" s="20">
        <f>SUM(J5:J9)</f>
        <v>180000</v>
      </c>
    </row>
    <row r="13" spans="1:18" x14ac:dyDescent="0.2">
      <c r="A13" s="4" t="s">
        <v>57</v>
      </c>
      <c r="B13" s="14">
        <v>1</v>
      </c>
      <c r="C13" s="4" t="s">
        <v>57</v>
      </c>
      <c r="D13" s="14">
        <v>2</v>
      </c>
      <c r="E13">
        <f>$G$20*B13</f>
        <v>86000</v>
      </c>
      <c r="F13">
        <f>$G$21*D13</f>
        <v>40000</v>
      </c>
    </row>
    <row r="14" spans="1:18" x14ac:dyDescent="0.2">
      <c r="A14" s="4" t="s">
        <v>53</v>
      </c>
      <c r="B14" s="14">
        <v>2</v>
      </c>
      <c r="C14" s="4" t="s">
        <v>53</v>
      </c>
      <c r="D14" s="14">
        <v>4</v>
      </c>
      <c r="E14">
        <f>$G$20*B14</f>
        <v>172000</v>
      </c>
      <c r="F14">
        <f>$G$21*D14</f>
        <v>80000</v>
      </c>
    </row>
    <row r="15" spans="1:18" x14ac:dyDescent="0.2">
      <c r="A15" s="4" t="s">
        <v>54</v>
      </c>
      <c r="B15" s="14">
        <v>2</v>
      </c>
      <c r="C15" s="4" t="s">
        <v>54</v>
      </c>
      <c r="D15" s="14">
        <v>3</v>
      </c>
      <c r="E15">
        <f>$G$20*B15</f>
        <v>172000</v>
      </c>
      <c r="F15">
        <f>$G$21*D15</f>
        <v>60000</v>
      </c>
    </row>
    <row r="16" spans="1:18" x14ac:dyDescent="0.2">
      <c r="A16" s="4" t="s">
        <v>55</v>
      </c>
      <c r="B16" s="14">
        <v>4</v>
      </c>
      <c r="C16" s="4" t="s">
        <v>55</v>
      </c>
      <c r="D16" s="14">
        <v>5</v>
      </c>
      <c r="E16">
        <f>$G$20*B16</f>
        <v>344000</v>
      </c>
      <c r="F16">
        <f>$G$21*D16</f>
        <v>100000</v>
      </c>
    </row>
    <row r="17" spans="1:7" ht="13.5" thickBot="1" x14ac:dyDescent="0.25">
      <c r="A17" s="7" t="s">
        <v>56</v>
      </c>
      <c r="B17" s="14">
        <v>1</v>
      </c>
      <c r="C17" s="4" t="s">
        <v>56</v>
      </c>
      <c r="D17" s="14">
        <v>1</v>
      </c>
      <c r="E17" s="38">
        <f>$G$20*B17</f>
        <v>86000</v>
      </c>
      <c r="F17" s="39">
        <f>$G$21*D17</f>
        <v>20000</v>
      </c>
    </row>
    <row r="18" spans="1:7" ht="13.5" thickBot="1" x14ac:dyDescent="0.25">
      <c r="A18" s="7"/>
      <c r="B18" s="15">
        <f>SUM(B13:B17)</f>
        <v>10</v>
      </c>
      <c r="C18" s="7"/>
      <c r="D18" s="15">
        <f>SUM(D13:D17)</f>
        <v>15</v>
      </c>
      <c r="E18" s="40">
        <f>SUM(E13:E17)</f>
        <v>860000</v>
      </c>
      <c r="F18" s="41">
        <f>SUM(F13:F17)</f>
        <v>300000</v>
      </c>
      <c r="G18" s="37" t="s">
        <v>42</v>
      </c>
    </row>
    <row r="19" spans="1:7" x14ac:dyDescent="0.2">
      <c r="F19" s="37"/>
    </row>
    <row r="20" spans="1:7" x14ac:dyDescent="0.2">
      <c r="A20" s="82"/>
      <c r="B20" s="82"/>
      <c r="C20" s="82"/>
      <c r="D20" s="82"/>
      <c r="E20" s="37" t="s">
        <v>43</v>
      </c>
      <c r="F20" s="37" t="s">
        <v>44</v>
      </c>
      <c r="G20">
        <v>86000</v>
      </c>
    </row>
    <row r="21" spans="1:7" x14ac:dyDescent="0.2">
      <c r="A21" s="82"/>
      <c r="B21" s="82"/>
      <c r="C21" s="82"/>
      <c r="D21" s="82"/>
      <c r="E21" s="37" t="s">
        <v>67</v>
      </c>
      <c r="G21">
        <v>20000</v>
      </c>
    </row>
    <row r="24" spans="1:7" x14ac:dyDescent="0.2">
      <c r="A24" t="s">
        <v>30</v>
      </c>
    </row>
    <row r="27" spans="1:7" x14ac:dyDescent="0.2">
      <c r="A27" s="21" t="s">
        <v>31</v>
      </c>
    </row>
    <row r="28" spans="1:7" ht="45.75" customHeight="1" x14ac:dyDescent="0.2">
      <c r="A28" s="83" t="s">
        <v>69</v>
      </c>
      <c r="B28" s="83"/>
      <c r="C28" s="83"/>
      <c r="D28" s="83"/>
      <c r="E28" s="83"/>
      <c r="F28" s="83"/>
      <c r="G28" s="83"/>
    </row>
    <row r="31" spans="1:7" x14ac:dyDescent="0.2">
      <c r="A31" s="21" t="s">
        <v>34</v>
      </c>
    </row>
    <row r="32" spans="1:7" x14ac:dyDescent="0.2">
      <c r="A32" t="s">
        <v>32</v>
      </c>
    </row>
    <row r="33" spans="1:6" x14ac:dyDescent="0.2">
      <c r="A33" t="s">
        <v>33</v>
      </c>
    </row>
    <row r="35" spans="1:6" s="2" customFormat="1" ht="51" x14ac:dyDescent="0.2">
      <c r="A35" s="52" t="s">
        <v>4</v>
      </c>
      <c r="B35" s="52" t="s">
        <v>21</v>
      </c>
      <c r="C35" s="51" t="s">
        <v>7</v>
      </c>
      <c r="D35" s="52" t="s">
        <v>70</v>
      </c>
      <c r="E35" s="52" t="s">
        <v>17</v>
      </c>
      <c r="F35" s="52" t="s">
        <v>18</v>
      </c>
    </row>
    <row r="36" spans="1:6" x14ac:dyDescent="0.2">
      <c r="A36" s="26" t="s">
        <v>57</v>
      </c>
      <c r="B36" s="26">
        <v>25000</v>
      </c>
      <c r="C36" s="5">
        <v>2</v>
      </c>
      <c r="D36" s="26">
        <v>8</v>
      </c>
      <c r="E36" s="26">
        <f>D36/C36</f>
        <v>4</v>
      </c>
      <c r="F36" s="26">
        <v>3</v>
      </c>
    </row>
    <row r="37" spans="1:6" x14ac:dyDescent="0.2">
      <c r="A37" s="26" t="s">
        <v>53</v>
      </c>
      <c r="B37" s="26">
        <v>30000</v>
      </c>
      <c r="C37" s="5">
        <v>2</v>
      </c>
      <c r="D37" s="26">
        <v>10</v>
      </c>
      <c r="E37" s="26">
        <f t="shared" ref="E37:E40" si="0">D37/C37</f>
        <v>5</v>
      </c>
      <c r="F37" s="26">
        <v>2</v>
      </c>
    </row>
    <row r="38" spans="1:6" x14ac:dyDescent="0.2">
      <c r="A38" s="26" t="s">
        <v>54</v>
      </c>
      <c r="B38" s="26">
        <v>15000</v>
      </c>
      <c r="C38" s="5">
        <v>4</v>
      </c>
      <c r="D38" s="26">
        <v>12</v>
      </c>
      <c r="E38" s="26">
        <f t="shared" si="0"/>
        <v>3</v>
      </c>
      <c r="F38" s="26">
        <v>4</v>
      </c>
    </row>
    <row r="39" spans="1:6" x14ac:dyDescent="0.2">
      <c r="A39" s="26" t="s">
        <v>55</v>
      </c>
      <c r="B39" s="26">
        <v>50000</v>
      </c>
      <c r="C39" s="5">
        <v>4.5</v>
      </c>
      <c r="D39" s="26">
        <v>9</v>
      </c>
      <c r="E39" s="26">
        <f t="shared" si="0"/>
        <v>2</v>
      </c>
      <c r="F39" s="26">
        <v>5</v>
      </c>
    </row>
    <row r="40" spans="1:6" x14ac:dyDescent="0.2">
      <c r="A40" s="26" t="s">
        <v>56</v>
      </c>
      <c r="B40" s="26">
        <v>35000</v>
      </c>
      <c r="C40" s="5">
        <v>1</v>
      </c>
      <c r="D40" s="26">
        <v>6</v>
      </c>
      <c r="E40" s="26">
        <f t="shared" si="0"/>
        <v>6</v>
      </c>
      <c r="F40" s="26">
        <v>1</v>
      </c>
    </row>
    <row r="41" spans="1:6" s="55" customFormat="1" ht="15.75" customHeight="1" x14ac:dyDescent="0.2"/>
    <row r="43" spans="1:6" ht="13.5" thickBot="1" x14ac:dyDescent="0.25">
      <c r="A43" t="s">
        <v>35</v>
      </c>
      <c r="B43" t="s">
        <v>35</v>
      </c>
      <c r="C43" s="20">
        <v>259000</v>
      </c>
      <c r="F43" s="37"/>
    </row>
    <row r="44" spans="1:6" ht="40.5" customHeight="1" x14ac:dyDescent="0.2">
      <c r="A44" s="42" t="s">
        <v>45</v>
      </c>
      <c r="B44" s="22" t="s">
        <v>37</v>
      </c>
      <c r="C44" s="23" t="s">
        <v>38</v>
      </c>
      <c r="D44" s="23" t="s">
        <v>36</v>
      </c>
      <c r="E44" s="57"/>
      <c r="F44" s="37" t="s">
        <v>46</v>
      </c>
    </row>
    <row r="45" spans="1:6" x14ac:dyDescent="0.2">
      <c r="A45" s="4">
        <v>1</v>
      </c>
      <c r="B45" s="4" t="s">
        <v>56</v>
      </c>
      <c r="C45" s="27">
        <f>D9</f>
        <v>35000</v>
      </c>
      <c r="D45" s="26">
        <v>1</v>
      </c>
      <c r="E45" s="28">
        <f>C45*D45</f>
        <v>35000</v>
      </c>
      <c r="F45">
        <v>35000</v>
      </c>
    </row>
    <row r="46" spans="1:6" x14ac:dyDescent="0.2">
      <c r="A46" s="4">
        <v>2</v>
      </c>
      <c r="B46" s="4" t="s">
        <v>53</v>
      </c>
      <c r="C46" s="27">
        <f>D6</f>
        <v>30000</v>
      </c>
      <c r="D46" s="26">
        <v>2</v>
      </c>
      <c r="E46" s="28">
        <f>C46*D46</f>
        <v>60000</v>
      </c>
      <c r="F46" s="20">
        <f>F45+E46</f>
        <v>95000</v>
      </c>
    </row>
    <row r="47" spans="1:6" x14ac:dyDescent="0.2">
      <c r="A47" s="4">
        <v>3</v>
      </c>
      <c r="B47" s="4" t="s">
        <v>57</v>
      </c>
      <c r="C47" s="27">
        <v>25000</v>
      </c>
      <c r="D47" s="26">
        <v>2</v>
      </c>
      <c r="E47" s="28">
        <f>C47*D47</f>
        <v>50000</v>
      </c>
      <c r="F47" s="20">
        <f>F46+E47</f>
        <v>145000</v>
      </c>
    </row>
    <row r="48" spans="1:6" ht="13.5" thickBot="1" x14ac:dyDescent="0.25">
      <c r="A48" s="7">
        <v>4</v>
      </c>
      <c r="B48" s="7" t="s">
        <v>54</v>
      </c>
      <c r="C48" s="27">
        <v>15000</v>
      </c>
      <c r="D48" s="24">
        <v>4</v>
      </c>
      <c r="E48" s="25">
        <f>C48*D48</f>
        <v>60000</v>
      </c>
      <c r="F48" s="20">
        <f>F47+E48</f>
        <v>205000</v>
      </c>
    </row>
    <row r="49" spans="1:7" ht="26.25" thickBot="1" x14ac:dyDescent="0.25">
      <c r="A49" s="43">
        <v>5</v>
      </c>
      <c r="B49" s="44" t="s">
        <v>55</v>
      </c>
      <c r="C49">
        <v>50000</v>
      </c>
      <c r="D49" s="45">
        <v>4.5</v>
      </c>
      <c r="E49" s="46">
        <f>C49*D49</f>
        <v>225000</v>
      </c>
      <c r="F49" s="47">
        <f>F48+E49</f>
        <v>430000</v>
      </c>
      <c r="G49" s="50" t="s">
        <v>47</v>
      </c>
    </row>
    <row r="50" spans="1:7" ht="51" x14ac:dyDescent="0.2">
      <c r="A50" t="s">
        <v>39</v>
      </c>
      <c r="B50" s="44" t="s">
        <v>55</v>
      </c>
      <c r="C50" s="48">
        <v>12000</v>
      </c>
      <c r="D50" s="49">
        <v>4.5</v>
      </c>
      <c r="E50">
        <v>54000</v>
      </c>
      <c r="F50" s="20">
        <f>F48+E50</f>
        <v>259000</v>
      </c>
      <c r="G50" s="50" t="s">
        <v>68</v>
      </c>
    </row>
    <row r="51" spans="1:7" x14ac:dyDescent="0.2">
      <c r="A51" s="20">
        <f>C43-F48</f>
        <v>54000</v>
      </c>
      <c r="B51" t="s">
        <v>59</v>
      </c>
    </row>
    <row r="52" spans="1:7" x14ac:dyDescent="0.2">
      <c r="A52" s="20">
        <f>A51/[1]Feladat!B31</f>
        <v>12000</v>
      </c>
      <c r="B52" t="s">
        <v>60</v>
      </c>
    </row>
    <row r="55" spans="1:7" x14ac:dyDescent="0.2">
      <c r="B55" s="37" t="s">
        <v>64</v>
      </c>
      <c r="C55" s="37" t="s">
        <v>61</v>
      </c>
      <c r="D55" s="37" t="s">
        <v>65</v>
      </c>
      <c r="E55" s="37" t="s">
        <v>66</v>
      </c>
    </row>
    <row r="56" spans="1:7" x14ac:dyDescent="0.2">
      <c r="A56" s="26" t="s">
        <v>56</v>
      </c>
      <c r="B56" s="27">
        <f>C45</f>
        <v>35000</v>
      </c>
      <c r="C56" s="26">
        <v>6</v>
      </c>
      <c r="D56" s="26">
        <f>B56*C56</f>
        <v>210000</v>
      </c>
    </row>
    <row r="57" spans="1:7" x14ac:dyDescent="0.2">
      <c r="A57" s="26" t="s">
        <v>53</v>
      </c>
      <c r="B57" s="27">
        <f>C46</f>
        <v>30000</v>
      </c>
      <c r="C57" s="26">
        <v>10</v>
      </c>
      <c r="D57" s="26">
        <f>B57*C57</f>
        <v>300000</v>
      </c>
    </row>
    <row r="58" spans="1:7" x14ac:dyDescent="0.2">
      <c r="A58" s="26" t="s">
        <v>57</v>
      </c>
      <c r="B58" s="27">
        <f>C47</f>
        <v>25000</v>
      </c>
      <c r="C58" s="26">
        <v>8</v>
      </c>
      <c r="D58" s="26">
        <f>B58*C58</f>
        <v>200000</v>
      </c>
    </row>
    <row r="59" spans="1:7" x14ac:dyDescent="0.2">
      <c r="A59" s="26" t="s">
        <v>54</v>
      </c>
      <c r="B59" s="27">
        <f>C48</f>
        <v>15000</v>
      </c>
      <c r="C59" s="26">
        <v>12</v>
      </c>
      <c r="D59" s="26">
        <f>B59*C59</f>
        <v>180000</v>
      </c>
    </row>
    <row r="60" spans="1:7" x14ac:dyDescent="0.2">
      <c r="A60" s="26" t="s">
        <v>55</v>
      </c>
      <c r="B60" s="27">
        <v>12000</v>
      </c>
      <c r="C60" s="26">
        <v>9</v>
      </c>
      <c r="D60" s="26">
        <f>B60*C60</f>
        <v>108000</v>
      </c>
      <c r="E60" t="s">
        <v>66</v>
      </c>
      <c r="F60" t="s">
        <v>56</v>
      </c>
    </row>
    <row r="61" spans="1:7" x14ac:dyDescent="0.2">
      <c r="B61" s="20"/>
      <c r="D61">
        <f>SUM(D56:D60)</f>
        <v>998000</v>
      </c>
      <c r="E61">
        <f>E18+F18</f>
        <v>1160000</v>
      </c>
      <c r="F61">
        <f>D61-E61</f>
        <v>-162000</v>
      </c>
    </row>
    <row r="106" ht="10.5" customHeight="1" x14ac:dyDescent="0.2"/>
  </sheetData>
  <mergeCells count="8">
    <mergeCell ref="A2:O3"/>
    <mergeCell ref="A28:G28"/>
    <mergeCell ref="A20:D20"/>
    <mergeCell ref="A21:D21"/>
    <mergeCell ref="A11:B11"/>
    <mergeCell ref="A12:B12"/>
    <mergeCell ref="C11:D11"/>
    <mergeCell ref="C12:D12"/>
  </mergeCells>
  <phoneticPr fontId="2" type="noConversion"/>
  <pageMargins left="0.25" right="0.25" top="0.75" bottom="0.75" header="0.3" footer="0.3"/>
  <pageSetup paperSize="9" scale="5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1.27.</vt:lpstr>
      <vt:lpstr>1.fel</vt:lpstr>
      <vt:lpstr>1. fel megoldás</vt:lpstr>
    </vt:vector>
  </TitlesOfParts>
  <Company>SZVI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FehérP</dc:creator>
  <cp:lastModifiedBy>Katona Ferenc</cp:lastModifiedBy>
  <cp:lastPrinted>2021-10-28T13:29:50Z</cp:lastPrinted>
  <dcterms:created xsi:type="dcterms:W3CDTF">2010-03-02T08:01:41Z</dcterms:created>
  <dcterms:modified xsi:type="dcterms:W3CDTF">2021-10-28T13:30:13Z</dcterms:modified>
</cp:coreProperties>
</file>