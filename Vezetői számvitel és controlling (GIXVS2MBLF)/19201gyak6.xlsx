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ntrolling\"/>
    </mc:Choice>
  </mc:AlternateContent>
  <bookViews>
    <workbookView xWindow="0" yWindow="0" windowWidth="28800" windowHeight="12330"/>
  </bookViews>
  <sheets>
    <sheet name="Standard (3)" sheetId="4" r:id="rId1"/>
    <sheet name="Munka1" sheetId="6" r:id="rId2"/>
    <sheet name="Standard" sheetId="5" r:id="rId3"/>
  </sheets>
  <calcPr calcId="162913"/>
</workbook>
</file>

<file path=xl/calcChain.xml><?xml version="1.0" encoding="utf-8"?>
<calcChain xmlns="http://schemas.openxmlformats.org/spreadsheetml/2006/main">
  <c r="C45" i="4" l="1"/>
  <c r="C53" i="5" l="1"/>
  <c r="C51" i="5"/>
  <c r="B51" i="5"/>
  <c r="B53" i="5" s="1"/>
  <c r="C48" i="5"/>
  <c r="C44" i="5"/>
  <c r="C45" i="5" s="1"/>
  <c r="F36" i="5"/>
  <c r="E36" i="5"/>
  <c r="D36" i="5"/>
  <c r="C36" i="5"/>
  <c r="B36" i="5"/>
  <c r="F35" i="5"/>
  <c r="E35" i="5"/>
  <c r="C35" i="5"/>
  <c r="B35" i="5"/>
  <c r="F34" i="5"/>
  <c r="F37" i="5" s="1"/>
  <c r="E34" i="5"/>
  <c r="E37" i="5" s="1"/>
  <c r="D34" i="5"/>
  <c r="B34" i="5"/>
  <c r="B37" i="5" s="1"/>
  <c r="B27" i="5"/>
  <c r="C23" i="5"/>
  <c r="B23" i="5"/>
  <c r="D23" i="5" s="1"/>
  <c r="C16" i="5"/>
  <c r="D16" i="5" s="1"/>
  <c r="B16" i="5"/>
  <c r="D12" i="5"/>
  <c r="D11" i="5"/>
  <c r="C65" i="5" s="1"/>
  <c r="D10" i="5"/>
  <c r="D7" i="5"/>
  <c r="B28" i="5" s="1"/>
  <c r="D6" i="5"/>
  <c r="D35" i="5" s="1"/>
  <c r="D5" i="5"/>
  <c r="B18" i="5" s="1"/>
  <c r="B20" i="5" s="1"/>
  <c r="D4" i="5"/>
  <c r="B19" i="5" s="1"/>
  <c r="O38" i="4"/>
  <c r="N38" i="4"/>
  <c r="O37" i="4"/>
  <c r="O36" i="4"/>
  <c r="N36" i="4"/>
  <c r="M36" i="4"/>
  <c r="M28" i="4"/>
  <c r="L28" i="4"/>
  <c r="M38" i="4"/>
  <c r="P38" i="4"/>
  <c r="L27" i="4"/>
  <c r="M37" i="4"/>
  <c r="N26" i="4"/>
  <c r="M26" i="4"/>
  <c r="M27" i="4"/>
  <c r="N27" i="4"/>
  <c r="D5" i="4"/>
  <c r="D6" i="4"/>
  <c r="D7" i="4"/>
  <c r="N28" i="4"/>
  <c r="D8" i="4"/>
  <c r="N37" i="4"/>
  <c r="D9" i="4"/>
  <c r="D10" i="4"/>
  <c r="D11" i="4"/>
  <c r="D13" i="4"/>
  <c r="D4" i="4"/>
  <c r="L26" i="4"/>
  <c r="O26" i="4"/>
  <c r="C12" i="4"/>
  <c r="B12" i="4"/>
  <c r="D12" i="4"/>
  <c r="C48" i="4"/>
  <c r="C33" i="4"/>
  <c r="B51" i="4"/>
  <c r="B53" i="4"/>
  <c r="B37" i="4"/>
  <c r="B38" i="4"/>
  <c r="C44" i="4"/>
  <c r="B55" i="4"/>
  <c r="C51" i="4"/>
  <c r="C53" i="4"/>
  <c r="C55" i="4"/>
  <c r="B33" i="4"/>
  <c r="C23" i="4"/>
  <c r="B23" i="4"/>
  <c r="D23" i="4"/>
  <c r="B18" i="4"/>
  <c r="B20" i="4"/>
  <c r="B26" i="4"/>
  <c r="B36" i="4"/>
  <c r="B19" i="4"/>
  <c r="B27" i="4"/>
  <c r="P37" i="4"/>
  <c r="D33" i="4"/>
  <c r="C61" i="4"/>
  <c r="B39" i="4"/>
  <c r="P36" i="4"/>
  <c r="P39" i="4"/>
  <c r="O28" i="4"/>
  <c r="B28" i="4"/>
  <c r="B29" i="4"/>
  <c r="O27" i="4"/>
  <c r="O29" i="4"/>
  <c r="A37" i="5" l="1"/>
  <c r="D37" i="5"/>
  <c r="C61" i="5"/>
  <c r="C57" i="5"/>
  <c r="C34" i="5"/>
  <c r="C37" i="5" s="1"/>
  <c r="B26" i="5"/>
  <c r="B29" i="5" s="1"/>
  <c r="A38" i="5" l="1"/>
</calcChain>
</file>

<file path=xl/sharedStrings.xml><?xml version="1.0" encoding="utf-8"?>
<sst xmlns="http://schemas.openxmlformats.org/spreadsheetml/2006/main" count="251" uniqueCount="92">
  <si>
    <t>Tényleges</t>
  </si>
  <si>
    <t>Tervezett</t>
  </si>
  <si>
    <t>Anyagköltség:</t>
  </si>
  <si>
    <t>db/év</t>
  </si>
  <si>
    <t>Ft/db</t>
  </si>
  <si>
    <t>eFt/év</t>
  </si>
  <si>
    <t>Közvetlen bérköltség:</t>
  </si>
  <si>
    <t>Standard költség számítás</t>
  </si>
  <si>
    <t>E. ráfordítás:</t>
  </si>
  <si>
    <t>E. mennyiség:</t>
  </si>
  <si>
    <t>Összesen:</t>
  </si>
  <si>
    <t>E. intenzítás:</t>
  </si>
  <si>
    <t>Eltérés</t>
  </si>
  <si>
    <t>tény</t>
  </si>
  <si>
    <t>Ráf.elt</t>
  </si>
  <si>
    <t>Δfaktg</t>
  </si>
  <si>
    <t>ΔQ</t>
  </si>
  <si>
    <t>Δfafelh</t>
  </si>
  <si>
    <t>Menny.elt</t>
  </si>
  <si>
    <t>Int. Elt.</t>
  </si>
  <si>
    <t>eFt</t>
  </si>
  <si>
    <t>faktg</t>
  </si>
  <si>
    <t>Q</t>
  </si>
  <si>
    <t>fafelh</t>
  </si>
  <si>
    <t>terv</t>
  </si>
  <si>
    <t>eltérés</t>
  </si>
  <si>
    <t>kg/db</t>
  </si>
  <si>
    <t>Ft/kg</t>
  </si>
  <si>
    <t>gó/év</t>
  </si>
  <si>
    <t>gó/db</t>
  </si>
  <si>
    <t>Tény mennyiség * árváltozás = áreltérés</t>
  </si>
  <si>
    <t>Mennyiségi eltérés * terv ár = mennyiségi eltérés</t>
  </si>
  <si>
    <t>Fix költségek elemzése</t>
  </si>
  <si>
    <t>Standard fix költség</t>
  </si>
  <si>
    <t>Ft</t>
  </si>
  <si>
    <t>fajlagos standard költség</t>
  </si>
  <si>
    <t>Ft/gépóra</t>
  </si>
  <si>
    <t>Ráfordítás eltérés</t>
  </si>
  <si>
    <t>Tény ráfordítás - terv ráfordítás</t>
  </si>
  <si>
    <t>Intenzitás eltérés</t>
  </si>
  <si>
    <t>Tény volumen * intenzitás eltérés * fajlagos standard költség</t>
  </si>
  <si>
    <t>1. Mennyiségi eltérés * terv felhasználás * terv ár = mennyiségi eltérés</t>
  </si>
  <si>
    <t>2. Tény volumen * intenzitás eltérés * terv ár = intenzitás eltérés</t>
  </si>
  <si>
    <t>3. Tény volumen * tény felhasználás * áreltérés = ráfordítás eltérés</t>
  </si>
  <si>
    <t>Tényleges kihasználás</t>
  </si>
  <si>
    <t>Kihasználatlan kapacitás</t>
  </si>
  <si>
    <t>K-tényleges kihasználás</t>
  </si>
  <si>
    <t>Reagálási fok</t>
  </si>
  <si>
    <t>ó/db</t>
  </si>
  <si>
    <t>ft/ó</t>
  </si>
  <si>
    <t>Áreltérés E. p</t>
  </si>
  <si>
    <t>Mennyiségi eltérés E.Q</t>
  </si>
  <si>
    <t>Δfamifelh</t>
  </si>
  <si>
    <t>Δfmiktg</t>
  </si>
  <si>
    <t>fbérktg</t>
  </si>
  <si>
    <t>fmifelh</t>
  </si>
  <si>
    <t>1. Mennyiségi eltérés * terv munkaidő felhasználás * terv fbér = mennyiségi eltérés</t>
  </si>
  <si>
    <t>2. Tény volumen * intenzitás (fmifelh) eltérés * terv fbér = intenzitás eltérés</t>
  </si>
  <si>
    <t>3. Tény volumen * tény munkaidő felhasználás * fbéreltérés = ráfordítás eltérés</t>
  </si>
  <si>
    <t xml:space="preserve"> passzív költség</t>
  </si>
  <si>
    <t>(Kapacitás -  kihasználtság) * fajlagos standard költség</t>
  </si>
  <si>
    <t>ft/év</t>
  </si>
  <si>
    <t>Mennyiség: Q</t>
  </si>
  <si>
    <t>Egységár: p</t>
  </si>
  <si>
    <t>Fajlagos anyagfelhasználás: fafelh</t>
  </si>
  <si>
    <t>Fajlagos munkaidő felhasz. fmifelh</t>
  </si>
  <si>
    <t xml:space="preserve">Fajlagos anyagköltség faktg    </t>
  </si>
  <si>
    <t>Fajlagos bérktg fbktg</t>
  </si>
  <si>
    <t>Kapacitás K</t>
  </si>
  <si>
    <t>(Gép) Időnorma Gin</t>
  </si>
  <si>
    <t>Fix általános költségek Kf</t>
  </si>
  <si>
    <t>ált.ktg. (közvetett költség)</t>
  </si>
  <si>
    <t>Q*Gin</t>
  </si>
  <si>
    <t>Q_tény * Gin_elt * f_st_ktg</t>
  </si>
  <si>
    <t>↙ Terv</t>
  </si>
  <si>
    <t>Tény ↗</t>
  </si>
  <si>
    <t>Mennyiség:</t>
  </si>
  <si>
    <t>Egységár:</t>
  </si>
  <si>
    <t>Fajlagos anyagfelhasználás:</t>
  </si>
  <si>
    <t xml:space="preserve">Fajlagos anyagköltség (beszerzésiár): </t>
  </si>
  <si>
    <t>Kapacitás</t>
  </si>
  <si>
    <t>Időnorma</t>
  </si>
  <si>
    <t>Fix általános költségek</t>
  </si>
  <si>
    <t>Árbevétel eltérés p*Q</t>
  </si>
  <si>
    <t>Anyagköltség: Q*faktg*fafelh</t>
  </si>
  <si>
    <t>↙ Tény</t>
  </si>
  <si>
    <t>terv ↗</t>
  </si>
  <si>
    <t>Q*időnorma</t>
  </si>
  <si>
    <t>Tervezett passzív költség</t>
  </si>
  <si>
    <t>(Kapacitás - tervezett kihasználtság) * fajlagos standard költség</t>
  </si>
  <si>
    <t>Tényleges passzív költség</t>
  </si>
  <si>
    <t>(Kapacitás - tényleges kihasználtság)*fajlagos standard költség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</si>
</sst>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0"/>
      <name val="Arial"/>
      <charset val="238"/>
    </font>
    <font>
      <b/>
      <sz val="10"/>
      <name val="Arial"/>
      <family val="2"/>
      <charset val="238"/>
    </font>
    <font>
      <b/>
      <sz val="16"/>
      <name val="Arial"/>
      <family val="2"/>
      <charset val="238"/>
    </font>
    <font>
      <b/>
      <sz val="14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b/>
      <sz val="12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name val="Arial"/>
      <charset val="238"/>
    </font>
    <font>
      <b/>
      <sz val="11"/>
      <color rgb="FF000000"/>
      <name val="Georgia"/>
      <family val="1"/>
      <charset val="238"/>
    </font>
    <font>
      <sz val="11"/>
      <name val="Arial"/>
      <family val="2"/>
      <charset val="238"/>
    </font>
    <font>
      <b/>
      <sz val="10"/>
      <color rgb="FF000000"/>
      <name val="Georgia"/>
      <family val="1"/>
      <charset val="238"/>
    </font>
    <font>
      <b/>
      <sz val="11"/>
      <name val="Arial"/>
      <family val="2"/>
      <charset val="238"/>
    </font>
    <font>
      <sz val="14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1D1DA"/>
        <bgColor indexed="64"/>
      </patternFill>
    </fill>
    <fill>
      <patternFill patternType="solid">
        <fgColor rgb="FFE9E9ED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47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0" borderId="2" xfId="0" applyBorder="1"/>
    <xf numFmtId="0" fontId="8" fillId="2" borderId="1" xfId="0" applyFont="1" applyFill="1" applyBorder="1"/>
    <xf numFmtId="0" fontId="3" fillId="3" borderId="0" xfId="0" applyFont="1" applyFill="1"/>
    <xf numFmtId="0" fontId="1" fillId="3" borderId="1" xfId="0" applyFont="1" applyFill="1" applyBorder="1"/>
    <xf numFmtId="0" fontId="5" fillId="3" borderId="1" xfId="0" applyFont="1" applyFill="1" applyBorder="1"/>
    <xf numFmtId="0" fontId="5" fillId="3" borderId="0" xfId="0" applyFont="1" applyFill="1"/>
    <xf numFmtId="0" fontId="0" fillId="3" borderId="0" xfId="0" applyFill="1"/>
    <xf numFmtId="0" fontId="0" fillId="3" borderId="0" xfId="0" applyFill="1" applyBorder="1"/>
    <xf numFmtId="0" fontId="0" fillId="3" borderId="3" xfId="0" applyFill="1" applyBorder="1"/>
    <xf numFmtId="0" fontId="1" fillId="0" borderId="0" xfId="0" applyFont="1" applyBorder="1"/>
    <xf numFmtId="0" fontId="1" fillId="3" borderId="0" xfId="0" applyFont="1" applyFill="1" applyBorder="1"/>
    <xf numFmtId="0" fontId="5" fillId="0" borderId="0" xfId="0" applyFont="1" applyBorder="1"/>
    <xf numFmtId="0" fontId="0" fillId="0" borderId="0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/>
    <xf numFmtId="0" fontId="4" fillId="0" borderId="1" xfId="0" applyFont="1" applyBorder="1"/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1" fontId="0" fillId="0" borderId="0" xfId="0" applyNumberFormat="1"/>
    <xf numFmtId="164" fontId="1" fillId="3" borderId="1" xfId="0" applyNumberFormat="1" applyFont="1" applyFill="1" applyBorder="1"/>
    <xf numFmtId="0" fontId="4" fillId="0" borderId="0" xfId="0" applyFont="1" applyAlignment="1">
      <alignment horizontal="center" vertical="center" wrapText="1"/>
    </xf>
    <xf numFmtId="0" fontId="0" fillId="0" borderId="4" xfId="0" applyBorder="1"/>
    <xf numFmtId="0" fontId="4" fillId="0" borderId="0" xfId="0" applyFont="1" applyBorder="1"/>
    <xf numFmtId="0" fontId="0" fillId="0" borderId="5" xfId="0" applyBorder="1"/>
    <xf numFmtId="0" fontId="4" fillId="0" borderId="6" xfId="0" applyFont="1" applyBorder="1" applyAlignment="1">
      <alignment horizontal="right"/>
    </xf>
    <xf numFmtId="0" fontId="4" fillId="0" borderId="7" xfId="0" applyFont="1" applyBorder="1"/>
    <xf numFmtId="0" fontId="0" fillId="0" borderId="8" xfId="0" applyBorder="1"/>
    <xf numFmtId="0" fontId="0" fillId="0" borderId="9" xfId="0" applyBorder="1"/>
    <xf numFmtId="0" fontId="4" fillId="0" borderId="9" xfId="0" applyFont="1" applyBorder="1" applyAlignment="1">
      <alignment horizontal="right"/>
    </xf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3" fontId="0" fillId="0" borderId="2" xfId="0" applyNumberFormat="1" applyBorder="1"/>
    <xf numFmtId="0" fontId="8" fillId="2" borderId="5" xfId="0" applyFont="1" applyFill="1" applyBorder="1"/>
    <xf numFmtId="0" fontId="0" fillId="2" borderId="6" xfId="0" applyFill="1" applyBorder="1"/>
    <xf numFmtId="0" fontId="0" fillId="2" borderId="13" xfId="0" applyFill="1" applyBorder="1"/>
    <xf numFmtId="3" fontId="0" fillId="2" borderId="7" xfId="0" applyNumberFormat="1" applyFill="1" applyBorder="1"/>
    <xf numFmtId="0" fontId="0" fillId="2" borderId="14" xfId="0" applyFill="1" applyBorder="1"/>
    <xf numFmtId="3" fontId="0" fillId="2" borderId="8" xfId="0" applyNumberFormat="1" applyFill="1" applyBorder="1"/>
    <xf numFmtId="0" fontId="0" fillId="2" borderId="9" xfId="0" applyFill="1" applyBorder="1"/>
    <xf numFmtId="0" fontId="8" fillId="2" borderId="15" xfId="0" applyFont="1" applyFill="1" applyBorder="1"/>
    <xf numFmtId="0" fontId="4" fillId="0" borderId="16" xfId="0" applyFont="1" applyBorder="1"/>
    <xf numFmtId="0" fontId="0" fillId="0" borderId="17" xfId="0" applyBorder="1"/>
    <xf numFmtId="0" fontId="4" fillId="0" borderId="18" xfId="0" applyFont="1" applyBorder="1"/>
    <xf numFmtId="0" fontId="4" fillId="0" borderId="19" xfId="0" applyFont="1" applyBorder="1" applyAlignment="1">
      <alignment horizontal="right"/>
    </xf>
    <xf numFmtId="0" fontId="4" fillId="0" borderId="0" xfId="0" applyFont="1" applyFill="1" applyBorder="1"/>
    <xf numFmtId="0" fontId="4" fillId="0" borderId="17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22" xfId="0" applyFont="1" applyBorder="1"/>
    <xf numFmtId="0" fontId="0" fillId="0" borderId="16" xfId="0" applyBorder="1"/>
    <xf numFmtId="0" fontId="4" fillId="0" borderId="8" xfId="0" applyFont="1" applyBorder="1"/>
    <xf numFmtId="0" fontId="6" fillId="0" borderId="19" xfId="0" applyFont="1" applyBorder="1"/>
    <xf numFmtId="0" fontId="0" fillId="0" borderId="18" xfId="0" applyBorder="1"/>
    <xf numFmtId="0" fontId="0" fillId="0" borderId="22" xfId="0" applyBorder="1"/>
    <xf numFmtId="0" fontId="8" fillId="0" borderId="23" xfId="0" applyFont="1" applyBorder="1"/>
    <xf numFmtId="0" fontId="4" fillId="0" borderId="5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3" fontId="0" fillId="0" borderId="20" xfId="0" applyNumberFormat="1" applyBorder="1"/>
    <xf numFmtId="0" fontId="0" fillId="0" borderId="24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4" fillId="0" borderId="25" xfId="0" applyFont="1" applyBorder="1"/>
    <xf numFmtId="0" fontId="4" fillId="0" borderId="27" xfId="0" applyFont="1" applyBorder="1"/>
    <xf numFmtId="0" fontId="4" fillId="0" borderId="13" xfId="0" applyFont="1" applyBorder="1" applyAlignment="1">
      <alignment horizontal="right"/>
    </xf>
    <xf numFmtId="0" fontId="4" fillId="0" borderId="28" xfId="0" applyFont="1" applyBorder="1"/>
    <xf numFmtId="0" fontId="1" fillId="0" borderId="29" xfId="0" applyFont="1" applyBorder="1"/>
    <xf numFmtId="0" fontId="4" fillId="3" borderId="0" xfId="0" applyFont="1" applyFill="1" applyBorder="1"/>
    <xf numFmtId="0" fontId="9" fillId="0" borderId="0" xfId="1"/>
    <xf numFmtId="0" fontId="9" fillId="4" borderId="0" xfId="1" applyFill="1"/>
    <xf numFmtId="0" fontId="1" fillId="4" borderId="30" xfId="1" applyFont="1" applyFill="1" applyBorder="1"/>
    <xf numFmtId="0" fontId="1" fillId="0" borderId="30" xfId="1" applyFont="1" applyBorder="1"/>
    <xf numFmtId="3" fontId="10" fillId="5" borderId="31" xfId="1" applyNumberFormat="1" applyFont="1" applyFill="1" applyBorder="1" applyAlignment="1">
      <alignment horizontal="right" vertical="center" wrapText="1" readingOrder="1"/>
    </xf>
    <xf numFmtId="0" fontId="1" fillId="3" borderId="30" xfId="1" applyFont="1" applyFill="1" applyBorder="1"/>
    <xf numFmtId="0" fontId="4" fillId="0" borderId="0" xfId="1" applyFont="1"/>
    <xf numFmtId="3" fontId="10" fillId="6" borderId="32" xfId="1" applyNumberFormat="1" applyFont="1" applyFill="1" applyBorder="1" applyAlignment="1">
      <alignment horizontal="right" vertical="center" wrapText="1" readingOrder="1"/>
    </xf>
    <xf numFmtId="0" fontId="10" fillId="5" borderId="32" xfId="1" applyFont="1" applyFill="1" applyBorder="1" applyAlignment="1">
      <alignment horizontal="right" vertical="center" wrapText="1" readingOrder="1"/>
    </xf>
    <xf numFmtId="0" fontId="10" fillId="6" borderId="32" xfId="1" applyFont="1" applyFill="1" applyBorder="1" applyAlignment="1">
      <alignment horizontal="right" vertical="center" wrapText="1" readingOrder="1"/>
    </xf>
    <xf numFmtId="0" fontId="11" fillId="4" borderId="30" xfId="1" applyFont="1" applyFill="1" applyBorder="1" applyAlignment="1">
      <alignment horizontal="right" readingOrder="1"/>
    </xf>
    <xf numFmtId="0" fontId="12" fillId="5" borderId="32" xfId="1" applyFont="1" applyFill="1" applyBorder="1" applyAlignment="1">
      <alignment horizontal="left" vertical="center" wrapText="1"/>
    </xf>
    <xf numFmtId="3" fontId="10" fillId="5" borderId="32" xfId="1" applyNumberFormat="1" applyFont="1" applyFill="1" applyBorder="1" applyAlignment="1">
      <alignment horizontal="right" vertical="center" wrapText="1" readingOrder="1"/>
    </xf>
    <xf numFmtId="0" fontId="12" fillId="5" borderId="32" xfId="1" applyFont="1" applyFill="1" applyBorder="1" applyAlignment="1">
      <alignment horizontal="center" vertical="center" wrapText="1" readingOrder="1"/>
    </xf>
    <xf numFmtId="0" fontId="12" fillId="6" borderId="32" xfId="1" applyFont="1" applyFill="1" applyBorder="1" applyAlignment="1">
      <alignment horizontal="left" vertical="center" wrapText="1"/>
    </xf>
    <xf numFmtId="0" fontId="12" fillId="6" borderId="32" xfId="1" applyFont="1" applyFill="1" applyBorder="1" applyAlignment="1">
      <alignment horizontal="center" vertical="center" wrapText="1" readingOrder="1"/>
    </xf>
    <xf numFmtId="0" fontId="12" fillId="5" borderId="0" xfId="1" applyFont="1" applyFill="1" applyBorder="1" applyAlignment="1">
      <alignment horizontal="left" vertical="center" wrapText="1"/>
    </xf>
    <xf numFmtId="0" fontId="11" fillId="4" borderId="0" xfId="1" applyFont="1" applyFill="1" applyBorder="1" applyAlignment="1">
      <alignment horizontal="right" readingOrder="1"/>
    </xf>
    <xf numFmtId="0" fontId="1" fillId="3" borderId="0" xfId="1" applyFont="1" applyFill="1" applyBorder="1"/>
    <xf numFmtId="0" fontId="12" fillId="5" borderId="0" xfId="1" applyFont="1" applyFill="1" applyBorder="1" applyAlignment="1">
      <alignment horizontal="center" vertical="center" wrapText="1" readingOrder="1"/>
    </xf>
    <xf numFmtId="0" fontId="13" fillId="0" borderId="0" xfId="1" applyFont="1"/>
    <xf numFmtId="0" fontId="9" fillId="3" borderId="0" xfId="1" applyFill="1"/>
    <xf numFmtId="0" fontId="9" fillId="3" borderId="0" xfId="1" applyFill="1" applyBorder="1"/>
    <xf numFmtId="0" fontId="9" fillId="0" borderId="0" xfId="1" applyAlignment="1">
      <alignment horizontal="left" vertical="center"/>
    </xf>
    <xf numFmtId="0" fontId="9" fillId="3" borderId="3" xfId="1" applyFill="1" applyBorder="1"/>
    <xf numFmtId="0" fontId="7" fillId="3" borderId="0" xfId="1" applyFont="1" applyFill="1"/>
    <xf numFmtId="0" fontId="4" fillId="3" borderId="30" xfId="1" applyFont="1" applyFill="1" applyBorder="1"/>
    <xf numFmtId="0" fontId="4" fillId="3" borderId="0" xfId="1" applyFont="1" applyFill="1"/>
    <xf numFmtId="0" fontId="4" fillId="0" borderId="30" xfId="1" applyFont="1" applyBorder="1"/>
    <xf numFmtId="0" fontId="4" fillId="0" borderId="0" xfId="1" applyFont="1" applyAlignment="1">
      <alignment horizontal="left" vertical="center"/>
    </xf>
    <xf numFmtId="0" fontId="1" fillId="0" borderId="0" xfId="1" applyFont="1" applyBorder="1"/>
    <xf numFmtId="0" fontId="4" fillId="0" borderId="0" xfId="1" applyFont="1" applyBorder="1"/>
    <xf numFmtId="0" fontId="4" fillId="0" borderId="29" xfId="1" applyFont="1" applyBorder="1"/>
    <xf numFmtId="0" fontId="6" fillId="0" borderId="0" xfId="1" applyFont="1"/>
    <xf numFmtId="0" fontId="4" fillId="0" borderId="0" xfId="1" applyFont="1" applyAlignment="1">
      <alignment horizontal="right"/>
    </xf>
    <xf numFmtId="3" fontId="9" fillId="0" borderId="33" xfId="1" applyNumberFormat="1" applyBorder="1"/>
    <xf numFmtId="0" fontId="8" fillId="2" borderId="30" xfId="1" applyFont="1" applyFill="1" applyBorder="1"/>
    <xf numFmtId="3" fontId="9" fillId="2" borderId="30" xfId="1" applyNumberFormat="1" applyFill="1" applyBorder="1"/>
    <xf numFmtId="0" fontId="9" fillId="0" borderId="34" xfId="1" applyBorder="1"/>
    <xf numFmtId="0" fontId="9" fillId="2" borderId="30" xfId="1" applyFill="1" applyBorder="1"/>
    <xf numFmtId="0" fontId="9" fillId="0" borderId="2" xfId="1" applyBorder="1"/>
    <xf numFmtId="0" fontId="7" fillId="0" borderId="0" xfId="1" applyFont="1" applyAlignment="1">
      <alignment horizontal="left" vertical="center" wrapText="1"/>
    </xf>
    <xf numFmtId="0" fontId="9" fillId="0" borderId="0" xfId="1" applyAlignment="1">
      <alignment horizontal="left" vertical="center" wrapText="1"/>
    </xf>
    <xf numFmtId="3" fontId="9" fillId="0" borderId="0" xfId="1" applyNumberFormat="1"/>
    <xf numFmtId="0" fontId="9" fillId="0" borderId="0" xfId="1" applyBorder="1"/>
    <xf numFmtId="0" fontId="9" fillId="0" borderId="0" xfId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4" fillId="3" borderId="0" xfId="0" applyFont="1" applyFill="1" applyAlignment="1">
      <alignment wrapText="1"/>
    </xf>
    <xf numFmtId="0" fontId="3" fillId="3" borderId="1" xfId="0" applyFont="1" applyFill="1" applyBorder="1"/>
    <xf numFmtId="0" fontId="3" fillId="3" borderId="30" xfId="0" applyFont="1" applyFill="1" applyBorder="1"/>
    <xf numFmtId="0" fontId="14" fillId="3" borderId="0" xfId="0" applyFont="1" applyFill="1"/>
    <xf numFmtId="0" fontId="3" fillId="3" borderId="1" xfId="0" applyFont="1" applyFill="1" applyBorder="1" applyAlignment="1">
      <alignment wrapText="1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4" fillId="3" borderId="0" xfId="1" applyFont="1" applyFill="1" applyAlignment="1">
      <alignment horizontal="left"/>
    </xf>
  </cellXfs>
  <cellStyles count="2">
    <cellStyle name="Normál" xfId="0" builtinId="0"/>
    <cellStyle name="Normá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2"/>
  <sheetViews>
    <sheetView tabSelected="1" zoomScale="110" zoomScaleNormal="110" workbookViewId="0">
      <selection sqref="A1:F14"/>
    </sheetView>
  </sheetViews>
  <sheetFormatPr defaultRowHeight="12.75" x14ac:dyDescent="0.2"/>
  <cols>
    <col min="1" max="1" width="33.7109375" customWidth="1"/>
    <col min="2" max="2" width="10.28515625" bestFit="1" customWidth="1"/>
    <col min="3" max="3" width="12.5703125" customWidth="1"/>
    <col min="6" max="6" width="12" customWidth="1"/>
    <col min="7" max="7" width="12.5703125" customWidth="1"/>
  </cols>
  <sheetData>
    <row r="1" spans="1:7" ht="20.25" x14ac:dyDescent="0.3">
      <c r="A1" s="141" t="s">
        <v>7</v>
      </c>
      <c r="B1" s="141"/>
      <c r="C1" s="141"/>
      <c r="D1" s="141"/>
      <c r="E1" s="141"/>
      <c r="F1" s="141"/>
    </row>
    <row r="3" spans="1:7" x14ac:dyDescent="0.2">
      <c r="A3" s="14"/>
      <c r="B3" s="11" t="s">
        <v>0</v>
      </c>
      <c r="C3" s="11" t="s">
        <v>1</v>
      </c>
      <c r="D3" s="11" t="s">
        <v>12</v>
      </c>
      <c r="E3" s="14"/>
    </row>
    <row r="4" spans="1:7" x14ac:dyDescent="0.2">
      <c r="A4" s="11" t="s">
        <v>62</v>
      </c>
      <c r="B4" s="11">
        <v>15200</v>
      </c>
      <c r="C4" s="11">
        <v>15500</v>
      </c>
      <c r="D4" s="11">
        <f>B4-C4</f>
        <v>-300</v>
      </c>
      <c r="E4" s="11" t="s">
        <v>3</v>
      </c>
      <c r="F4" s="5"/>
    </row>
    <row r="5" spans="1:7" x14ac:dyDescent="0.2">
      <c r="A5" s="11" t="s">
        <v>63</v>
      </c>
      <c r="B5" s="11">
        <v>6000</v>
      </c>
      <c r="C5" s="11">
        <v>6300</v>
      </c>
      <c r="D5" s="11">
        <f t="shared" ref="D5:D13" si="0">B5-C5</f>
        <v>-300</v>
      </c>
      <c r="E5" s="11" t="s">
        <v>4</v>
      </c>
      <c r="F5" s="5"/>
    </row>
    <row r="6" spans="1:7" x14ac:dyDescent="0.2">
      <c r="A6" s="11" t="s">
        <v>64</v>
      </c>
      <c r="B6" s="11">
        <v>5.4</v>
      </c>
      <c r="C6" s="11">
        <v>5.5</v>
      </c>
      <c r="D6" s="11">
        <f t="shared" si="0"/>
        <v>-9.9999999999999645E-2</v>
      </c>
      <c r="E6" s="11" t="s">
        <v>26</v>
      </c>
      <c r="F6" s="5"/>
    </row>
    <row r="7" spans="1:7" x14ac:dyDescent="0.2">
      <c r="A7" s="11" t="s">
        <v>66</v>
      </c>
      <c r="B7" s="11">
        <v>150</v>
      </c>
      <c r="C7" s="11">
        <v>145</v>
      </c>
      <c r="D7" s="11">
        <f t="shared" si="0"/>
        <v>5</v>
      </c>
      <c r="E7" s="11" t="s">
        <v>27</v>
      </c>
      <c r="F7" s="5"/>
    </row>
    <row r="8" spans="1:7" x14ac:dyDescent="0.2">
      <c r="A8" s="11" t="s">
        <v>65</v>
      </c>
      <c r="B8" s="11">
        <v>1.4</v>
      </c>
      <c r="C8" s="11">
        <v>1.3</v>
      </c>
      <c r="D8" s="11">
        <f t="shared" si="0"/>
        <v>9.9999999999999867E-2</v>
      </c>
      <c r="E8" s="11" t="s">
        <v>48</v>
      </c>
      <c r="F8" s="5"/>
    </row>
    <row r="9" spans="1:7" x14ac:dyDescent="0.2">
      <c r="A9" s="11" t="s">
        <v>67</v>
      </c>
      <c r="B9" s="11">
        <v>600</v>
      </c>
      <c r="C9" s="11">
        <v>580</v>
      </c>
      <c r="D9" s="11">
        <f t="shared" si="0"/>
        <v>20</v>
      </c>
      <c r="E9" s="11" t="s">
        <v>49</v>
      </c>
      <c r="F9" s="6"/>
    </row>
    <row r="10" spans="1:7" x14ac:dyDescent="0.2">
      <c r="A10" s="11" t="s">
        <v>68</v>
      </c>
      <c r="B10" s="11">
        <v>2800</v>
      </c>
      <c r="C10" s="11">
        <v>2800</v>
      </c>
      <c r="D10" s="11">
        <f t="shared" si="0"/>
        <v>0</v>
      </c>
      <c r="E10" s="11" t="s">
        <v>28</v>
      </c>
      <c r="F10" s="6"/>
    </row>
    <row r="11" spans="1:7" x14ac:dyDescent="0.2">
      <c r="A11" s="11" t="s">
        <v>69</v>
      </c>
      <c r="B11" s="11">
        <v>0.08</v>
      </c>
      <c r="C11" s="11">
        <v>0.1</v>
      </c>
      <c r="D11" s="11">
        <f t="shared" si="0"/>
        <v>-2.0000000000000004E-2</v>
      </c>
      <c r="E11" s="11" t="s">
        <v>29</v>
      </c>
      <c r="F11" s="6"/>
    </row>
    <row r="12" spans="1:7" x14ac:dyDescent="0.2">
      <c r="A12" s="11" t="s">
        <v>70</v>
      </c>
      <c r="B12" s="11">
        <f>B13*0.6</f>
        <v>3000</v>
      </c>
      <c r="C12" s="11">
        <f>C13*0.6</f>
        <v>3180</v>
      </c>
      <c r="D12" s="11">
        <f t="shared" si="0"/>
        <v>-180</v>
      </c>
      <c r="E12" s="11" t="s">
        <v>20</v>
      </c>
      <c r="F12" s="5"/>
    </row>
    <row r="13" spans="1:7" x14ac:dyDescent="0.2">
      <c r="A13" s="11" t="s">
        <v>71</v>
      </c>
      <c r="B13" s="11">
        <v>5000</v>
      </c>
      <c r="C13" s="11">
        <v>5300</v>
      </c>
      <c r="D13" s="11">
        <f t="shared" si="0"/>
        <v>-300</v>
      </c>
      <c r="E13" s="11" t="s">
        <v>20</v>
      </c>
      <c r="F13" s="5" t="s">
        <v>47</v>
      </c>
      <c r="G13" s="29">
        <v>0.4</v>
      </c>
    </row>
    <row r="14" spans="1:7" x14ac:dyDescent="0.2">
      <c r="A14" s="5"/>
      <c r="B14" s="5" t="s">
        <v>47</v>
      </c>
      <c r="C14" s="29">
        <v>0.4</v>
      </c>
      <c r="D14" s="5"/>
      <c r="E14" s="5"/>
      <c r="F14" s="5"/>
    </row>
    <row r="15" spans="1:7" x14ac:dyDescent="0.2">
      <c r="B15" s="6"/>
      <c r="C15" s="6"/>
      <c r="D15" s="6"/>
    </row>
    <row r="16" spans="1:7" ht="15.75" x14ac:dyDescent="0.25">
      <c r="A16" s="31"/>
      <c r="B16" s="14"/>
      <c r="C16" s="14"/>
      <c r="D16" s="14"/>
    </row>
    <row r="17" spans="1:15" x14ac:dyDescent="0.2">
      <c r="A17" s="6"/>
      <c r="B17" s="14"/>
      <c r="C17" s="14"/>
      <c r="D17" s="14"/>
    </row>
    <row r="18" spans="1:15" x14ac:dyDescent="0.2">
      <c r="A18" s="6" t="s">
        <v>50</v>
      </c>
      <c r="B18" s="15">
        <f>D5*B4/1000</f>
        <v>-4560</v>
      </c>
      <c r="C18" s="14" t="s">
        <v>5</v>
      </c>
      <c r="D18" s="22" t="s">
        <v>30</v>
      </c>
    </row>
    <row r="19" spans="1:15" x14ac:dyDescent="0.2">
      <c r="A19" s="6" t="s">
        <v>51</v>
      </c>
      <c r="B19" s="16">
        <f>D4*C5/1000</f>
        <v>-1890</v>
      </c>
      <c r="C19" s="14" t="s">
        <v>5</v>
      </c>
      <c r="D19" s="22" t="s">
        <v>31</v>
      </c>
    </row>
    <row r="20" spans="1:15" x14ac:dyDescent="0.2">
      <c r="B20" s="14">
        <f>SUM(B18:B19)</f>
        <v>-6450</v>
      </c>
      <c r="C20" s="14" t="s">
        <v>5</v>
      </c>
      <c r="D20" s="14"/>
    </row>
    <row r="22" spans="1:15" x14ac:dyDescent="0.2">
      <c r="A22" s="5"/>
      <c r="B22" s="6" t="s">
        <v>13</v>
      </c>
      <c r="C22" s="6" t="s">
        <v>24</v>
      </c>
      <c r="D22" s="6" t="s">
        <v>25</v>
      </c>
      <c r="E22" s="5"/>
      <c r="F22" s="5"/>
    </row>
    <row r="23" spans="1:15" ht="18.75" thickBot="1" x14ac:dyDescent="0.3">
      <c r="A23" s="10" t="s">
        <v>2</v>
      </c>
      <c r="B23" s="11">
        <f>B4*B6*B7/1000</f>
        <v>12312</v>
      </c>
      <c r="C23" s="11">
        <f>C4*C6*C7/1000</f>
        <v>12361.25</v>
      </c>
      <c r="D23" s="11">
        <f>$B23-$C23</f>
        <v>-49.25</v>
      </c>
      <c r="E23" s="12" t="s">
        <v>5</v>
      </c>
      <c r="F23" s="13"/>
    </row>
    <row r="24" spans="1:15" x14ac:dyDescent="0.2">
      <c r="A24" s="142"/>
      <c r="B24" s="142"/>
      <c r="C24" s="142"/>
      <c r="D24" s="142"/>
      <c r="E24" s="142"/>
      <c r="F24" s="142"/>
      <c r="J24" s="37"/>
      <c r="K24" s="70"/>
      <c r="L24" s="72" t="s">
        <v>22</v>
      </c>
      <c r="M24" s="38" t="s">
        <v>23</v>
      </c>
      <c r="N24" s="81" t="s">
        <v>21</v>
      </c>
      <c r="O24" s="79"/>
    </row>
    <row r="25" spans="1:15" ht="13.5" thickBot="1" x14ac:dyDescent="0.25">
      <c r="A25" s="5"/>
      <c r="B25" s="5"/>
      <c r="C25" s="5"/>
      <c r="D25" s="5"/>
      <c r="E25" s="5"/>
      <c r="F25" s="5"/>
      <c r="J25" s="61"/>
      <c r="K25" s="71" t="s">
        <v>25</v>
      </c>
      <c r="L25" s="74"/>
      <c r="M25" s="45"/>
      <c r="N25" s="75"/>
      <c r="O25" s="80" t="s">
        <v>74</v>
      </c>
    </row>
    <row r="26" spans="1:15" x14ac:dyDescent="0.2">
      <c r="A26" s="4" t="s">
        <v>9</v>
      </c>
      <c r="B26" s="11">
        <f>D4*C6*C7/1000</f>
        <v>-239.25</v>
      </c>
      <c r="C26" s="4" t="s">
        <v>5</v>
      </c>
      <c r="D26" s="25" t="s">
        <v>41</v>
      </c>
      <c r="E26" s="5"/>
      <c r="F26" s="5"/>
      <c r="J26" s="64" t="s">
        <v>18</v>
      </c>
      <c r="K26" s="65" t="s">
        <v>16</v>
      </c>
      <c r="L26" s="47">
        <f>D4</f>
        <v>-300</v>
      </c>
      <c r="M26" s="48">
        <f>C6</f>
        <v>5.5</v>
      </c>
      <c r="N26" s="49">
        <f>C7</f>
        <v>145</v>
      </c>
      <c r="O26" s="77">
        <f>L26*M26*N26/1000</f>
        <v>-239.25</v>
      </c>
    </row>
    <row r="27" spans="1:15" x14ac:dyDescent="0.2">
      <c r="A27" s="4" t="s">
        <v>11</v>
      </c>
      <c r="B27" s="33">
        <f>B4*D6*C7/1000</f>
        <v>-220.39999999999921</v>
      </c>
      <c r="C27" s="4" t="s">
        <v>5</v>
      </c>
      <c r="D27" s="25" t="s">
        <v>42</v>
      </c>
      <c r="E27" s="5"/>
      <c r="F27" s="5"/>
      <c r="J27" s="39" t="s">
        <v>19</v>
      </c>
      <c r="K27" s="43" t="s">
        <v>17</v>
      </c>
      <c r="L27" s="50">
        <f>B4</f>
        <v>15200</v>
      </c>
      <c r="M27" s="9">
        <f>D6</f>
        <v>-9.9999999999999645E-2</v>
      </c>
      <c r="N27" s="51">
        <f>N26</f>
        <v>145</v>
      </c>
      <c r="O27" s="44">
        <f>L27*M27*N27/1000</f>
        <v>-220.39999999999921</v>
      </c>
    </row>
    <row r="28" spans="1:15" ht="13.5" thickBot="1" x14ac:dyDescent="0.25">
      <c r="A28" s="24" t="s">
        <v>8</v>
      </c>
      <c r="B28" s="11">
        <f>B4*B6*D7/1000</f>
        <v>410.4</v>
      </c>
      <c r="C28" s="4" t="s">
        <v>5</v>
      </c>
      <c r="D28" s="25" t="s">
        <v>43</v>
      </c>
      <c r="E28" s="5"/>
      <c r="F28" s="5"/>
      <c r="J28" s="67" t="s">
        <v>14</v>
      </c>
      <c r="K28" s="68" t="s">
        <v>15</v>
      </c>
      <c r="L28" s="52">
        <f>B4</f>
        <v>15200</v>
      </c>
      <c r="M28" s="53">
        <f>B6</f>
        <v>5.4</v>
      </c>
      <c r="N28" s="54">
        <f>D7</f>
        <v>5</v>
      </c>
      <c r="O28" s="78">
        <f>L28*M28*N28/1000</f>
        <v>410.4</v>
      </c>
    </row>
    <row r="29" spans="1:15" ht="13.5" thickBot="1" x14ac:dyDescent="0.25">
      <c r="A29" s="2" t="s">
        <v>10</v>
      </c>
      <c r="B29" s="11">
        <f>SUM(B26:B28)</f>
        <v>-49.249999999999204</v>
      </c>
      <c r="C29" s="4" t="s">
        <v>5</v>
      </c>
      <c r="D29" s="5"/>
      <c r="E29" s="5"/>
      <c r="F29" s="5"/>
      <c r="J29" s="76"/>
      <c r="K29" s="63" t="s">
        <v>75</v>
      </c>
      <c r="L29" s="46"/>
      <c r="M29" s="8"/>
      <c r="N29" s="35"/>
      <c r="O29" s="83">
        <f>SUM(O26:O28)</f>
        <v>-49.249999999999204</v>
      </c>
    </row>
    <row r="30" spans="1:15" ht="13.5" thickBot="1" x14ac:dyDescent="0.25">
      <c r="A30" s="17"/>
      <c r="B30" s="18"/>
      <c r="C30" s="19"/>
      <c r="D30" s="5"/>
      <c r="E30" s="5"/>
      <c r="F30" s="5"/>
      <c r="J30" s="40"/>
      <c r="K30" s="41"/>
      <c r="L30" s="42"/>
      <c r="M30" s="42"/>
      <c r="N30" s="42"/>
      <c r="O30" s="82" t="s">
        <v>20</v>
      </c>
    </row>
    <row r="32" spans="1:15" x14ac:dyDescent="0.2">
      <c r="A32" s="5"/>
      <c r="B32" s="6" t="s">
        <v>13</v>
      </c>
      <c r="C32" s="6" t="s">
        <v>24</v>
      </c>
      <c r="D32" s="6" t="s">
        <v>25</v>
      </c>
      <c r="E32" s="5"/>
      <c r="F32" s="5"/>
    </row>
    <row r="33" spans="1:17" ht="18.75" thickBot="1" x14ac:dyDescent="0.3">
      <c r="A33" s="1" t="s">
        <v>6</v>
      </c>
      <c r="B33" s="11">
        <f>B4*B8*B9/1000</f>
        <v>12768</v>
      </c>
      <c r="C33" s="11">
        <f>C4*C8*C9/1000</f>
        <v>11687</v>
      </c>
      <c r="D33" s="11">
        <f>$B33-$C33</f>
        <v>1081</v>
      </c>
      <c r="E33" s="4" t="s">
        <v>5</v>
      </c>
      <c r="F33" s="5"/>
    </row>
    <row r="34" spans="1:17" x14ac:dyDescent="0.2">
      <c r="A34" s="143"/>
      <c r="B34" s="143"/>
      <c r="C34" s="143"/>
      <c r="D34" s="143"/>
      <c r="E34" s="143"/>
      <c r="F34" s="143"/>
      <c r="K34" s="37"/>
      <c r="L34" s="70"/>
      <c r="M34" s="72" t="s">
        <v>22</v>
      </c>
      <c r="N34" s="38" t="s">
        <v>55</v>
      </c>
      <c r="O34" s="73" t="s">
        <v>54</v>
      </c>
      <c r="P34" s="55"/>
    </row>
    <row r="35" spans="1:17" ht="13.5" thickBot="1" x14ac:dyDescent="0.25">
      <c r="K35" s="61"/>
      <c r="L35" s="71" t="s">
        <v>25</v>
      </c>
      <c r="M35" s="74"/>
      <c r="N35" s="45"/>
      <c r="O35" s="75"/>
      <c r="P35" s="60" t="s">
        <v>74</v>
      </c>
      <c r="Q35" s="36"/>
    </row>
    <row r="36" spans="1:17" x14ac:dyDescent="0.2">
      <c r="A36" s="3" t="s">
        <v>9</v>
      </c>
      <c r="B36" s="11">
        <f>D4*C8*C9/1000</f>
        <v>-226.2</v>
      </c>
      <c r="C36" s="3" t="s">
        <v>5</v>
      </c>
      <c r="D36" s="25" t="s">
        <v>56</v>
      </c>
      <c r="K36" s="64" t="s">
        <v>18</v>
      </c>
      <c r="L36" s="65" t="s">
        <v>16</v>
      </c>
      <c r="M36" s="47">
        <f>L26</f>
        <v>-300</v>
      </c>
      <c r="N36" s="48">
        <f>C8</f>
        <v>1.3</v>
      </c>
      <c r="O36" s="49">
        <f>C9</f>
        <v>580</v>
      </c>
      <c r="P36" s="66">
        <f>M36*N36*O36/1000</f>
        <v>-226.2</v>
      </c>
      <c r="Q36" s="20"/>
    </row>
    <row r="37" spans="1:17" x14ac:dyDescent="0.2">
      <c r="A37" s="3" t="s">
        <v>11</v>
      </c>
      <c r="B37" s="33">
        <f>B4*D8*C9/1000</f>
        <v>881.59999999999889</v>
      </c>
      <c r="C37" s="3" t="s">
        <v>5</v>
      </c>
      <c r="D37" s="25" t="s">
        <v>57</v>
      </c>
      <c r="K37" s="39" t="s">
        <v>19</v>
      </c>
      <c r="L37" s="43" t="s">
        <v>52</v>
      </c>
      <c r="M37" s="50">
        <f>L27</f>
        <v>15200</v>
      </c>
      <c r="N37" s="9">
        <f>D8</f>
        <v>9.9999999999999867E-2</v>
      </c>
      <c r="O37" s="51">
        <f>O36</f>
        <v>580</v>
      </c>
      <c r="P37" s="56">
        <f>M37*N37*O37/1000</f>
        <v>881.59999999999889</v>
      </c>
      <c r="Q37" s="20"/>
    </row>
    <row r="38" spans="1:17" ht="13.5" thickBot="1" x14ac:dyDescent="0.25">
      <c r="A38" s="24" t="s">
        <v>8</v>
      </c>
      <c r="B38" s="11">
        <f>B4*B8*D9/1000</f>
        <v>425.6</v>
      </c>
      <c r="C38" s="3" t="s">
        <v>5</v>
      </c>
      <c r="D38" s="25" t="s">
        <v>58</v>
      </c>
      <c r="K38" s="67" t="s">
        <v>14</v>
      </c>
      <c r="L38" s="68" t="s">
        <v>53</v>
      </c>
      <c r="M38" s="52">
        <f>L28</f>
        <v>15200</v>
      </c>
      <c r="N38" s="53">
        <f>B8</f>
        <v>1.4</v>
      </c>
      <c r="O38" s="54">
        <f>D9</f>
        <v>20</v>
      </c>
      <c r="P38" s="69">
        <f>M38*N38*O38/1000</f>
        <v>425.6</v>
      </c>
      <c r="Q38" s="20"/>
    </row>
    <row r="39" spans="1:17" ht="13.5" thickBot="1" x14ac:dyDescent="0.25">
      <c r="A39" s="2" t="s">
        <v>10</v>
      </c>
      <c r="B39" s="11">
        <f>SUM(B36:B38)</f>
        <v>1080.9999999999991</v>
      </c>
      <c r="C39" s="3" t="s">
        <v>5</v>
      </c>
      <c r="I39" s="7"/>
      <c r="K39" s="62"/>
      <c r="L39" s="63" t="s">
        <v>75</v>
      </c>
      <c r="M39" s="46"/>
      <c r="N39" s="8"/>
      <c r="O39" s="35"/>
      <c r="P39" s="83">
        <f>P36+P37+P38</f>
        <v>1080.9999999999991</v>
      </c>
      <c r="Q39" s="20"/>
    </row>
    <row r="40" spans="1:17" ht="13.5" thickBot="1" x14ac:dyDescent="0.25">
      <c r="K40" s="40"/>
      <c r="L40" s="41"/>
      <c r="M40" s="42"/>
      <c r="N40" s="42"/>
      <c r="O40" s="58"/>
      <c r="P40" s="57" t="s">
        <v>20</v>
      </c>
      <c r="Q40" s="20"/>
    </row>
    <row r="41" spans="1:17" x14ac:dyDescent="0.2">
      <c r="A41" s="15"/>
      <c r="B41" s="84"/>
      <c r="C41" s="84"/>
      <c r="D41" s="84"/>
      <c r="E41" s="84"/>
      <c r="F41" s="84"/>
      <c r="G41" s="15"/>
      <c r="P41" s="59"/>
      <c r="Q41" s="20"/>
    </row>
    <row r="43" spans="1:17" ht="15.75" x14ac:dyDescent="0.2">
      <c r="A43" s="30" t="s">
        <v>32</v>
      </c>
    </row>
    <row r="44" spans="1:17" x14ac:dyDescent="0.2">
      <c r="A44" s="28" t="s">
        <v>33</v>
      </c>
      <c r="C44" s="23">
        <f>C12*1000</f>
        <v>3180000</v>
      </c>
      <c r="D44" t="s">
        <v>34</v>
      </c>
      <c r="E44" s="20"/>
    </row>
    <row r="45" spans="1:17" x14ac:dyDescent="0.2">
      <c r="A45" s="28" t="s">
        <v>35</v>
      </c>
      <c r="C45" s="32">
        <f>ROUND(C44/C10, 0)</f>
        <v>1136</v>
      </c>
      <c r="D45" t="s">
        <v>36</v>
      </c>
      <c r="E45" s="15"/>
    </row>
    <row r="46" spans="1:17" x14ac:dyDescent="0.2">
      <c r="A46" s="21"/>
      <c r="E46" s="15"/>
    </row>
    <row r="47" spans="1:17" x14ac:dyDescent="0.2">
      <c r="A47" s="28" t="s">
        <v>37</v>
      </c>
      <c r="E47" s="15"/>
    </row>
    <row r="48" spans="1:17" x14ac:dyDescent="0.2">
      <c r="A48" s="21" t="s">
        <v>38</v>
      </c>
      <c r="C48" s="23">
        <f>D12*1000</f>
        <v>-180000</v>
      </c>
      <c r="D48" t="s">
        <v>34</v>
      </c>
      <c r="E48" s="15"/>
    </row>
    <row r="49" spans="1:5" x14ac:dyDescent="0.2">
      <c r="A49" s="21"/>
      <c r="E49" s="15"/>
    </row>
    <row r="50" spans="1:5" x14ac:dyDescent="0.2">
      <c r="A50" s="6" t="s">
        <v>44</v>
      </c>
      <c r="B50" s="6" t="s">
        <v>13</v>
      </c>
      <c r="C50" s="6" t="s">
        <v>24</v>
      </c>
    </row>
    <row r="51" spans="1:5" x14ac:dyDescent="0.2">
      <c r="A51" s="34" t="s">
        <v>72</v>
      </c>
      <c r="B51">
        <f>B4*B11</f>
        <v>1216</v>
      </c>
      <c r="C51">
        <f>C4*C11</f>
        <v>1550</v>
      </c>
      <c r="D51" s="6" t="s">
        <v>28</v>
      </c>
    </row>
    <row r="52" spans="1:5" x14ac:dyDescent="0.2">
      <c r="A52" s="27" t="s">
        <v>45</v>
      </c>
    </row>
    <row r="53" spans="1:5" x14ac:dyDescent="0.2">
      <c r="A53" s="26" t="s">
        <v>46</v>
      </c>
      <c r="B53" s="23">
        <f>B10-B51</f>
        <v>1584</v>
      </c>
      <c r="C53" s="23">
        <f>C10-C51</f>
        <v>1250</v>
      </c>
      <c r="D53" s="6" t="s">
        <v>28</v>
      </c>
    </row>
    <row r="54" spans="1:5" x14ac:dyDescent="0.2">
      <c r="A54" s="6"/>
    </row>
    <row r="55" spans="1:5" x14ac:dyDescent="0.2">
      <c r="A55" s="28" t="s">
        <v>59</v>
      </c>
      <c r="B55">
        <f>B53*C45</f>
        <v>1799424</v>
      </c>
      <c r="C55">
        <f>C53*C45</f>
        <v>1420000</v>
      </c>
      <c r="D55" t="s">
        <v>61</v>
      </c>
      <c r="E55" s="15"/>
    </row>
    <row r="56" spans="1:5" x14ac:dyDescent="0.2">
      <c r="A56" s="21"/>
      <c r="E56" s="20"/>
    </row>
    <row r="57" spans="1:5" ht="25.5" x14ac:dyDescent="0.2">
      <c r="A57" s="21" t="s">
        <v>60</v>
      </c>
      <c r="C57" s="23"/>
    </row>
    <row r="58" spans="1:5" x14ac:dyDescent="0.2">
      <c r="A58" s="21"/>
    </row>
    <row r="59" spans="1:5" x14ac:dyDescent="0.2">
      <c r="A59" s="28" t="s">
        <v>39</v>
      </c>
    </row>
    <row r="60" spans="1:5" x14ac:dyDescent="0.2">
      <c r="A60" s="21"/>
    </row>
    <row r="61" spans="1:5" ht="25.5" x14ac:dyDescent="0.2">
      <c r="A61" s="21" t="s">
        <v>40</v>
      </c>
      <c r="C61" s="23">
        <f>B4*D11*C45</f>
        <v>-345344.00000000006</v>
      </c>
      <c r="D61" t="s">
        <v>34</v>
      </c>
    </row>
    <row r="62" spans="1:5" x14ac:dyDescent="0.2">
      <c r="A62" s="34" t="s">
        <v>73</v>
      </c>
    </row>
  </sheetData>
  <mergeCells count="3">
    <mergeCell ref="A1:F1"/>
    <mergeCell ref="A24:F24"/>
    <mergeCell ref="A34:F34"/>
  </mergeCells>
  <pageMargins left="0.25" right="0.25" top="0.75" bottom="0.75" header="0.3" footer="0.3"/>
  <pageSetup paperSize="9" scale="5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3" workbookViewId="0">
      <selection activeCell="F35" sqref="F35"/>
    </sheetView>
  </sheetViews>
  <sheetFormatPr defaultRowHeight="18" x14ac:dyDescent="0.25"/>
  <cols>
    <col min="1" max="1" width="34.28515625" style="134" customWidth="1"/>
    <col min="2" max="2" width="17.85546875" style="133" customWidth="1"/>
    <col min="3" max="3" width="15" style="133" customWidth="1"/>
    <col min="4" max="4" width="8" style="133" customWidth="1"/>
    <col min="5" max="16384" width="9.140625" style="133"/>
  </cols>
  <sheetData>
    <row r="1" spans="1:6" x14ac:dyDescent="0.25">
      <c r="A1" s="144" t="s">
        <v>7</v>
      </c>
      <c r="B1" s="144"/>
      <c r="C1" s="144"/>
      <c r="D1" s="144"/>
      <c r="E1" s="144"/>
      <c r="F1" s="144"/>
    </row>
    <row r="3" spans="1:6" x14ac:dyDescent="0.25">
      <c r="A3" s="135"/>
      <c r="B3" s="136" t="s">
        <v>0</v>
      </c>
      <c r="C3" s="136" t="s">
        <v>1</v>
      </c>
      <c r="D3" s="137" t="s">
        <v>12</v>
      </c>
      <c r="E3" s="138"/>
    </row>
    <row r="4" spans="1:6" x14ac:dyDescent="0.25">
      <c r="A4" s="139" t="s">
        <v>62</v>
      </c>
      <c r="B4" s="136">
        <v>15200</v>
      </c>
      <c r="C4" s="136">
        <v>15500</v>
      </c>
      <c r="D4" s="136"/>
      <c r="E4" s="136" t="s">
        <v>3</v>
      </c>
    </row>
    <row r="5" spans="1:6" x14ac:dyDescent="0.25">
      <c r="A5" s="139" t="s">
        <v>63</v>
      </c>
      <c r="B5" s="136">
        <v>6000</v>
      </c>
      <c r="C5" s="136">
        <v>6300</v>
      </c>
      <c r="D5" s="136"/>
      <c r="E5" s="136" t="s">
        <v>4</v>
      </c>
    </row>
    <row r="6" spans="1:6" ht="54" x14ac:dyDescent="0.25">
      <c r="A6" s="139" t="s">
        <v>64</v>
      </c>
      <c r="B6" s="136">
        <v>5.4</v>
      </c>
      <c r="C6" s="136">
        <v>5.5</v>
      </c>
      <c r="D6" s="136"/>
      <c r="E6" s="136" t="s">
        <v>26</v>
      </c>
    </row>
    <row r="7" spans="1:6" ht="36" x14ac:dyDescent="0.25">
      <c r="A7" s="139" t="s">
        <v>66</v>
      </c>
      <c r="B7" s="136">
        <v>150</v>
      </c>
      <c r="C7" s="136">
        <v>145</v>
      </c>
      <c r="D7" s="136"/>
      <c r="E7" s="136" t="s">
        <v>27</v>
      </c>
    </row>
    <row r="8" spans="1:6" ht="36" x14ac:dyDescent="0.25">
      <c r="A8" s="139" t="s">
        <v>65</v>
      </c>
      <c r="B8" s="136">
        <v>1.4</v>
      </c>
      <c r="C8" s="136">
        <v>1.3</v>
      </c>
      <c r="D8" s="136"/>
      <c r="E8" s="136" t="s">
        <v>48</v>
      </c>
    </row>
    <row r="9" spans="1:6" x14ac:dyDescent="0.25">
      <c r="A9" s="139" t="s">
        <v>67</v>
      </c>
      <c r="B9" s="136">
        <v>600</v>
      </c>
      <c r="C9" s="136">
        <v>580</v>
      </c>
      <c r="D9" s="136"/>
      <c r="E9" s="136" t="s">
        <v>49</v>
      </c>
    </row>
    <row r="10" spans="1:6" x14ac:dyDescent="0.25">
      <c r="A10" s="139" t="s">
        <v>68</v>
      </c>
      <c r="B10" s="136">
        <v>2800</v>
      </c>
      <c r="C10" s="136">
        <v>2800</v>
      </c>
      <c r="D10" s="136"/>
      <c r="E10" s="136" t="s">
        <v>28</v>
      </c>
    </row>
    <row r="11" spans="1:6" x14ac:dyDescent="0.25">
      <c r="A11" s="139" t="s">
        <v>69</v>
      </c>
      <c r="B11" s="136">
        <v>0.08</v>
      </c>
      <c r="C11" s="136">
        <v>0.1</v>
      </c>
      <c r="D11" s="136"/>
      <c r="E11" s="136" t="s">
        <v>29</v>
      </c>
    </row>
    <row r="12" spans="1:6" ht="36" x14ac:dyDescent="0.25">
      <c r="A12" s="139" t="s">
        <v>70</v>
      </c>
      <c r="B12" s="136"/>
      <c r="C12" s="136"/>
      <c r="D12" s="136"/>
      <c r="E12" s="136" t="s">
        <v>20</v>
      </c>
    </row>
    <row r="13" spans="1:6" ht="36" x14ac:dyDescent="0.25">
      <c r="A13" s="139" t="s">
        <v>71</v>
      </c>
      <c r="B13" s="136">
        <v>5000</v>
      </c>
      <c r="C13" s="136">
        <v>5300</v>
      </c>
      <c r="D13" s="136"/>
      <c r="E13" s="136" t="s">
        <v>20</v>
      </c>
    </row>
    <row r="14" spans="1:6" x14ac:dyDescent="0.25">
      <c r="B14" s="133" t="s">
        <v>47</v>
      </c>
      <c r="C14" s="140">
        <v>0.4</v>
      </c>
    </row>
    <row r="16" spans="1:6" x14ac:dyDescent="0.25">
      <c r="A16" s="144" t="s">
        <v>7</v>
      </c>
      <c r="B16" s="144"/>
      <c r="C16" s="144"/>
      <c r="D16" s="144"/>
      <c r="E16" s="144"/>
      <c r="F16" s="144"/>
    </row>
    <row r="18" spans="1:5" x14ac:dyDescent="0.25">
      <c r="A18" s="135"/>
      <c r="B18" s="136" t="s">
        <v>0</v>
      </c>
      <c r="C18" s="136" t="s">
        <v>1</v>
      </c>
      <c r="D18" s="137" t="s">
        <v>12</v>
      </c>
      <c r="E18" s="138"/>
    </row>
    <row r="19" spans="1:5" x14ac:dyDescent="0.25">
      <c r="A19" s="139" t="s">
        <v>62</v>
      </c>
      <c r="B19" s="136">
        <v>15200</v>
      </c>
      <c r="C19" s="136">
        <v>15500</v>
      </c>
      <c r="D19" s="136"/>
      <c r="E19" s="136" t="s">
        <v>3</v>
      </c>
    </row>
    <row r="20" spans="1:5" x14ac:dyDescent="0.25">
      <c r="A20" s="139" t="s">
        <v>63</v>
      </c>
      <c r="B20" s="136">
        <v>6000</v>
      </c>
      <c r="C20" s="136">
        <v>6300</v>
      </c>
      <c r="D20" s="136"/>
      <c r="E20" s="136" t="s">
        <v>4</v>
      </c>
    </row>
    <row r="21" spans="1:5" ht="54" x14ac:dyDescent="0.25">
      <c r="A21" s="139" t="s">
        <v>64</v>
      </c>
      <c r="B21" s="136">
        <v>5.4</v>
      </c>
      <c r="C21" s="136">
        <v>5.5</v>
      </c>
      <c r="D21" s="136"/>
      <c r="E21" s="136" t="s">
        <v>26</v>
      </c>
    </row>
    <row r="22" spans="1:5" ht="36" x14ac:dyDescent="0.25">
      <c r="A22" s="139" t="s">
        <v>66</v>
      </c>
      <c r="B22" s="136">
        <v>150</v>
      </c>
      <c r="C22" s="136">
        <v>145</v>
      </c>
      <c r="D22" s="136"/>
      <c r="E22" s="136" t="s">
        <v>27</v>
      </c>
    </row>
    <row r="23" spans="1:5" ht="36" x14ac:dyDescent="0.25">
      <c r="A23" s="139" t="s">
        <v>65</v>
      </c>
      <c r="B23" s="136">
        <v>1.4</v>
      </c>
      <c r="C23" s="136">
        <v>1.3</v>
      </c>
      <c r="D23" s="136"/>
      <c r="E23" s="136" t="s">
        <v>48</v>
      </c>
    </row>
    <row r="24" spans="1:5" x14ac:dyDescent="0.25">
      <c r="A24" s="139" t="s">
        <v>67</v>
      </c>
      <c r="B24" s="136">
        <v>600</v>
      </c>
      <c r="C24" s="136">
        <v>580</v>
      </c>
      <c r="D24" s="136"/>
      <c r="E24" s="136" t="s">
        <v>49</v>
      </c>
    </row>
    <row r="25" spans="1:5" x14ac:dyDescent="0.25">
      <c r="A25" s="139" t="s">
        <v>68</v>
      </c>
      <c r="B25" s="136">
        <v>2800</v>
      </c>
      <c r="C25" s="136">
        <v>2800</v>
      </c>
      <c r="D25" s="136"/>
      <c r="E25" s="136" t="s">
        <v>28</v>
      </c>
    </row>
    <row r="26" spans="1:5" x14ac:dyDescent="0.25">
      <c r="A26" s="139" t="s">
        <v>69</v>
      </c>
      <c r="B26" s="136">
        <v>0.08</v>
      </c>
      <c r="C26" s="136">
        <v>0.1</v>
      </c>
      <c r="D26" s="136"/>
      <c r="E26" s="136" t="s">
        <v>29</v>
      </c>
    </row>
    <row r="27" spans="1:5" ht="36" x14ac:dyDescent="0.25">
      <c r="A27" s="139" t="s">
        <v>70</v>
      </c>
      <c r="B27" s="136"/>
      <c r="C27" s="136"/>
      <c r="D27" s="136"/>
      <c r="E27" s="136" t="s">
        <v>20</v>
      </c>
    </row>
    <row r="28" spans="1:5" ht="36" x14ac:dyDescent="0.25">
      <c r="A28" s="139" t="s">
        <v>71</v>
      </c>
      <c r="B28" s="136">
        <v>5000</v>
      </c>
      <c r="C28" s="136">
        <v>5300</v>
      </c>
      <c r="D28" s="136"/>
      <c r="E28" s="136" t="s">
        <v>20</v>
      </c>
    </row>
    <row r="29" spans="1:5" x14ac:dyDescent="0.25">
      <c r="B29" s="133" t="s">
        <v>47</v>
      </c>
      <c r="C29" s="140">
        <v>0.4</v>
      </c>
    </row>
  </sheetData>
  <mergeCells count="2">
    <mergeCell ref="A1:F1"/>
    <mergeCell ref="A16:F16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5"/>
  <sheetViews>
    <sheetView workbookViewId="0">
      <selection activeCell="A12" sqref="A12"/>
    </sheetView>
  </sheetViews>
  <sheetFormatPr defaultRowHeight="12.75" x14ac:dyDescent="0.2"/>
  <cols>
    <col min="1" max="1" width="33.7109375" style="85" customWidth="1"/>
    <col min="2" max="2" width="10.28515625" style="85" bestFit="1" customWidth="1"/>
    <col min="3" max="3" width="12.5703125" style="85" customWidth="1"/>
    <col min="4" max="5" width="9.140625" style="85"/>
    <col min="6" max="6" width="9.28515625" style="85" customWidth="1"/>
    <col min="7" max="7" width="12.5703125" style="85" customWidth="1"/>
    <col min="8" max="256" width="9.140625" style="85"/>
  </cols>
  <sheetData>
    <row r="1" spans="1:6" ht="20.25" x14ac:dyDescent="0.3">
      <c r="A1" s="145" t="s">
        <v>7</v>
      </c>
      <c r="B1" s="145"/>
      <c r="C1" s="145"/>
      <c r="D1" s="145"/>
      <c r="E1" s="145"/>
      <c r="F1" s="145"/>
    </row>
    <row r="3" spans="1:6" ht="13.5" thickBot="1" x14ac:dyDescent="0.25">
      <c r="A3" s="86"/>
      <c r="B3" s="87" t="s">
        <v>0</v>
      </c>
      <c r="C3" s="87" t="s">
        <v>1</v>
      </c>
      <c r="D3" s="88" t="s">
        <v>12</v>
      </c>
      <c r="E3" s="86"/>
    </row>
    <row r="4" spans="1:6" ht="15.75" thickTop="1" thickBot="1" x14ac:dyDescent="0.25">
      <c r="A4" s="87" t="s">
        <v>76</v>
      </c>
      <c r="B4" s="89">
        <v>10000</v>
      </c>
      <c r="C4" s="89">
        <v>9500</v>
      </c>
      <c r="D4" s="90">
        <f>$B4-$C4</f>
        <v>500</v>
      </c>
      <c r="E4" s="87" t="s">
        <v>3</v>
      </c>
      <c r="F4" s="91"/>
    </row>
    <row r="5" spans="1:6" ht="15" thickBot="1" x14ac:dyDescent="0.25">
      <c r="A5" s="87" t="s">
        <v>77</v>
      </c>
      <c r="B5" s="92">
        <v>5200</v>
      </c>
      <c r="C5" s="92">
        <v>5000</v>
      </c>
      <c r="D5" s="90">
        <f t="shared" ref="D5:D12" si="0">$B5-$C5</f>
        <v>200</v>
      </c>
      <c r="E5" s="87" t="s">
        <v>4</v>
      </c>
      <c r="F5" s="91"/>
    </row>
    <row r="6" spans="1:6" ht="15" thickBot="1" x14ac:dyDescent="0.25">
      <c r="A6" s="87" t="s">
        <v>78</v>
      </c>
      <c r="B6" s="93">
        <v>2.4</v>
      </c>
      <c r="C6" s="93">
        <v>2.5</v>
      </c>
      <c r="D6" s="90">
        <f t="shared" si="0"/>
        <v>-0.10000000000000009</v>
      </c>
      <c r="E6" s="87" t="s">
        <v>26</v>
      </c>
      <c r="F6" s="91"/>
    </row>
    <row r="7" spans="1:6" ht="15" thickBot="1" x14ac:dyDescent="0.25">
      <c r="A7" s="87" t="s">
        <v>79</v>
      </c>
      <c r="B7" s="94">
        <v>85</v>
      </c>
      <c r="C7" s="94">
        <v>80</v>
      </c>
      <c r="D7" s="90">
        <f t="shared" si="0"/>
        <v>5</v>
      </c>
      <c r="E7" s="87" t="s">
        <v>27</v>
      </c>
      <c r="F7" s="91"/>
    </row>
    <row r="8" spans="1:6" ht="14.25" x14ac:dyDescent="0.2">
      <c r="A8" s="87"/>
      <c r="B8" s="95"/>
      <c r="C8" s="95"/>
      <c r="D8" s="90"/>
      <c r="E8" s="87"/>
      <c r="F8" s="91"/>
    </row>
    <row r="9" spans="1:6" ht="15" thickBot="1" x14ac:dyDescent="0.25">
      <c r="A9" s="87"/>
      <c r="B9" s="95"/>
      <c r="C9" s="95"/>
      <c r="D9" s="90"/>
      <c r="E9" s="87"/>
      <c r="F9" s="91"/>
    </row>
    <row r="10" spans="1:6" ht="15" thickBot="1" x14ac:dyDescent="0.25">
      <c r="A10" s="96" t="s">
        <v>80</v>
      </c>
      <c r="B10" s="97">
        <v>5800</v>
      </c>
      <c r="C10" s="97">
        <v>5800</v>
      </c>
      <c r="D10" s="90">
        <f t="shared" si="0"/>
        <v>0</v>
      </c>
      <c r="E10" s="98" t="s">
        <v>28</v>
      </c>
      <c r="F10" s="91"/>
    </row>
    <row r="11" spans="1:6" ht="15" thickBot="1" x14ac:dyDescent="0.25">
      <c r="A11" s="99" t="s">
        <v>81</v>
      </c>
      <c r="B11" s="94">
        <v>0.5</v>
      </c>
      <c r="C11" s="94">
        <v>0.6</v>
      </c>
      <c r="D11" s="90">
        <f t="shared" si="0"/>
        <v>-9.9999999999999978E-2</v>
      </c>
      <c r="E11" s="100" t="s">
        <v>29</v>
      </c>
      <c r="F11" s="91"/>
    </row>
    <row r="12" spans="1:6" ht="15" thickBot="1" x14ac:dyDescent="0.25">
      <c r="A12" s="96" t="s">
        <v>82</v>
      </c>
      <c r="B12" s="95">
        <v>3100</v>
      </c>
      <c r="C12" s="95">
        <v>2900</v>
      </c>
      <c r="D12" s="90">
        <f t="shared" si="0"/>
        <v>200</v>
      </c>
      <c r="E12" s="98" t="s">
        <v>20</v>
      </c>
      <c r="F12" s="91"/>
    </row>
    <row r="13" spans="1:6" ht="14.25" x14ac:dyDescent="0.2">
      <c r="A13" s="101"/>
      <c r="B13" s="102"/>
      <c r="C13" s="102"/>
      <c r="D13" s="103"/>
      <c r="E13" s="104"/>
      <c r="F13" s="91"/>
    </row>
    <row r="14" spans="1:6" x14ac:dyDescent="0.2">
      <c r="A14" s="91"/>
      <c r="B14" s="91"/>
      <c r="C14" s="91"/>
      <c r="D14" s="91"/>
      <c r="E14" s="91"/>
      <c r="F14" s="91"/>
    </row>
    <row r="15" spans="1:6" x14ac:dyDescent="0.2">
      <c r="B15" s="91" t="s">
        <v>13</v>
      </c>
      <c r="C15" s="91" t="s">
        <v>24</v>
      </c>
      <c r="D15" s="91" t="s">
        <v>25</v>
      </c>
    </row>
    <row r="16" spans="1:6" ht="15" x14ac:dyDescent="0.25">
      <c r="A16" s="105" t="s">
        <v>83</v>
      </c>
      <c r="B16" s="106">
        <f>B4*B5/1000</f>
        <v>52000</v>
      </c>
      <c r="C16" s="106">
        <f>C4*C5/1000</f>
        <v>47500</v>
      </c>
      <c r="D16" s="106">
        <f>B16-C16</f>
        <v>4500</v>
      </c>
      <c r="E16" s="85" t="s">
        <v>5</v>
      </c>
    </row>
    <row r="17" spans="1:6" x14ac:dyDescent="0.2">
      <c r="A17" s="91"/>
      <c r="B17" s="106"/>
      <c r="C17" s="106"/>
      <c r="D17" s="106"/>
    </row>
    <row r="18" spans="1:6" x14ac:dyDescent="0.2">
      <c r="A18" s="91" t="s">
        <v>50</v>
      </c>
      <c r="B18" s="107">
        <f>D5*B4/1000</f>
        <v>2000</v>
      </c>
      <c r="C18" s="106" t="s">
        <v>5</v>
      </c>
      <c r="D18" s="108" t="s">
        <v>30</v>
      </c>
    </row>
    <row r="19" spans="1:6" x14ac:dyDescent="0.2">
      <c r="A19" s="91" t="s">
        <v>51</v>
      </c>
      <c r="B19" s="109">
        <f>D4*C5/1000</f>
        <v>2500</v>
      </c>
      <c r="C19" s="106" t="s">
        <v>5</v>
      </c>
      <c r="D19" s="108" t="s">
        <v>31</v>
      </c>
    </row>
    <row r="20" spans="1:6" x14ac:dyDescent="0.2">
      <c r="B20" s="106">
        <f>SUM(B18:B19)</f>
        <v>4500</v>
      </c>
      <c r="C20" s="106" t="s">
        <v>5</v>
      </c>
      <c r="D20" s="106"/>
    </row>
    <row r="22" spans="1:6" x14ac:dyDescent="0.2">
      <c r="A22" s="91"/>
      <c r="B22" s="91" t="s">
        <v>13</v>
      </c>
      <c r="C22" s="91" t="s">
        <v>24</v>
      </c>
      <c r="D22" s="91" t="s">
        <v>25</v>
      </c>
      <c r="E22" s="91"/>
      <c r="F22" s="91"/>
    </row>
    <row r="23" spans="1:6" ht="15.75" x14ac:dyDescent="0.25">
      <c r="A23" s="110" t="s">
        <v>84</v>
      </c>
      <c r="B23" s="90">
        <f>B4*B6*B7/1000</f>
        <v>2040</v>
      </c>
      <c r="C23" s="90">
        <f>C4*C6*C7/1000</f>
        <v>1900</v>
      </c>
      <c r="D23" s="90">
        <f>$B23-$C23</f>
        <v>140</v>
      </c>
      <c r="E23" s="111" t="s">
        <v>5</v>
      </c>
      <c r="F23" s="112"/>
    </row>
    <row r="24" spans="1:6" x14ac:dyDescent="0.2">
      <c r="A24" s="146"/>
      <c r="B24" s="146"/>
      <c r="C24" s="146"/>
      <c r="D24" s="146"/>
      <c r="E24" s="146"/>
      <c r="F24" s="146"/>
    </row>
    <row r="25" spans="1:6" x14ac:dyDescent="0.2">
      <c r="A25" s="91"/>
      <c r="B25" s="91"/>
      <c r="C25" s="91"/>
      <c r="D25" s="91"/>
      <c r="E25" s="91"/>
      <c r="F25" s="91"/>
    </row>
    <row r="26" spans="1:6" x14ac:dyDescent="0.2">
      <c r="A26" s="113" t="s">
        <v>9</v>
      </c>
      <c r="B26" s="90">
        <f>D4*C6*C7/1000</f>
        <v>100</v>
      </c>
      <c r="C26" s="113" t="s">
        <v>5</v>
      </c>
      <c r="D26" s="114" t="s">
        <v>41</v>
      </c>
      <c r="E26" s="91"/>
      <c r="F26" s="91"/>
    </row>
    <row r="27" spans="1:6" x14ac:dyDescent="0.2">
      <c r="A27" s="113" t="s">
        <v>11</v>
      </c>
      <c r="B27" s="90">
        <f>B4*D6*C7/1000</f>
        <v>-80.000000000000071</v>
      </c>
      <c r="C27" s="113" t="s">
        <v>5</v>
      </c>
      <c r="D27" s="114" t="s">
        <v>42</v>
      </c>
      <c r="E27" s="91"/>
      <c r="F27" s="91"/>
    </row>
    <row r="28" spans="1:6" x14ac:dyDescent="0.2">
      <c r="A28" s="113" t="s">
        <v>8</v>
      </c>
      <c r="B28" s="90">
        <f>B4*B6*D7/1000</f>
        <v>120</v>
      </c>
      <c r="C28" s="113" t="s">
        <v>5</v>
      </c>
      <c r="D28" s="114" t="s">
        <v>43</v>
      </c>
      <c r="E28" s="91"/>
      <c r="F28" s="91"/>
    </row>
    <row r="29" spans="1:6" x14ac:dyDescent="0.2">
      <c r="A29" s="88" t="s">
        <v>10</v>
      </c>
      <c r="B29" s="90">
        <f>SUM(B26:B28)</f>
        <v>139.99999999999994</v>
      </c>
      <c r="C29" s="113" t="s">
        <v>5</v>
      </c>
      <c r="D29" s="91"/>
      <c r="E29" s="91"/>
      <c r="F29" s="91"/>
    </row>
    <row r="30" spans="1:6" x14ac:dyDescent="0.2">
      <c r="A30" s="115"/>
      <c r="B30" s="103"/>
      <c r="C30" s="116"/>
      <c r="D30" s="91"/>
      <c r="E30" s="91"/>
      <c r="F30" s="91"/>
    </row>
    <row r="31" spans="1:6" ht="13.5" thickBot="1" x14ac:dyDescent="0.25"/>
    <row r="32" spans="1:6" ht="13.5" thickBot="1" x14ac:dyDescent="0.25">
      <c r="B32" s="91" t="s">
        <v>13</v>
      </c>
      <c r="C32" s="91" t="s">
        <v>18</v>
      </c>
      <c r="D32" s="91" t="s">
        <v>19</v>
      </c>
      <c r="E32" s="91" t="s">
        <v>14</v>
      </c>
      <c r="F32" s="117" t="s">
        <v>85</v>
      </c>
    </row>
    <row r="33" spans="1:7" x14ac:dyDescent="0.2">
      <c r="C33" s="91" t="s">
        <v>16</v>
      </c>
      <c r="D33" s="91" t="s">
        <v>17</v>
      </c>
      <c r="E33" s="118" t="s">
        <v>15</v>
      </c>
    </row>
    <row r="34" spans="1:7" x14ac:dyDescent="0.2">
      <c r="A34" s="119" t="s">
        <v>22</v>
      </c>
      <c r="B34" s="120">
        <f>B4</f>
        <v>10000</v>
      </c>
      <c r="C34" s="121">
        <f>D4</f>
        <v>500</v>
      </c>
      <c r="D34" s="122">
        <f>B4</f>
        <v>10000</v>
      </c>
      <c r="E34" s="122">
        <f>B4</f>
        <v>10000</v>
      </c>
      <c r="F34" s="120">
        <f>C4</f>
        <v>9500</v>
      </c>
      <c r="G34" s="119" t="s">
        <v>22</v>
      </c>
    </row>
    <row r="35" spans="1:7" x14ac:dyDescent="0.2">
      <c r="A35" s="119" t="s">
        <v>23</v>
      </c>
      <c r="B35" s="123">
        <f>B6</f>
        <v>2.4</v>
      </c>
      <c r="C35" s="124">
        <f>C6</f>
        <v>2.5</v>
      </c>
      <c r="D35" s="121">
        <f>D6</f>
        <v>-0.10000000000000009</v>
      </c>
      <c r="E35" s="124">
        <f>B6</f>
        <v>2.4</v>
      </c>
      <c r="F35" s="123">
        <f>C6</f>
        <v>2.5</v>
      </c>
      <c r="G35" s="119" t="s">
        <v>23</v>
      </c>
    </row>
    <row r="36" spans="1:7" x14ac:dyDescent="0.2">
      <c r="A36" s="119" t="s">
        <v>21</v>
      </c>
      <c r="B36" s="125">
        <f>B7</f>
        <v>85</v>
      </c>
      <c r="C36" s="124">
        <f>C7</f>
        <v>80</v>
      </c>
      <c r="D36" s="124">
        <f>C36</f>
        <v>80</v>
      </c>
      <c r="E36" s="121">
        <f>D7</f>
        <v>5</v>
      </c>
      <c r="F36" s="125">
        <f>C7</f>
        <v>80</v>
      </c>
      <c r="G36" s="119" t="s">
        <v>21</v>
      </c>
    </row>
    <row r="37" spans="1:7" ht="13.5" thickBot="1" x14ac:dyDescent="0.25">
      <c r="A37" s="91">
        <f>B37-F37</f>
        <v>140</v>
      </c>
      <c r="B37" s="85">
        <f>B34*B35*B36/1000</f>
        <v>2040</v>
      </c>
      <c r="C37" s="85">
        <f>C34*C35*C36/1000</f>
        <v>100</v>
      </c>
      <c r="D37" s="85">
        <f>D34*D35*D36/1000</f>
        <v>-80.000000000000071</v>
      </c>
      <c r="E37" s="85">
        <f>E34*E35*E36/1000</f>
        <v>120</v>
      </c>
      <c r="F37" s="85">
        <f>F34*F35*F36/1000</f>
        <v>1900</v>
      </c>
      <c r="G37" s="91" t="s">
        <v>20</v>
      </c>
    </row>
    <row r="38" spans="1:7" ht="13.5" thickBot="1" x14ac:dyDescent="0.25">
      <c r="A38" s="85">
        <f>C37+D37+E37</f>
        <v>139.99999999999994</v>
      </c>
      <c r="B38" s="117" t="s">
        <v>86</v>
      </c>
    </row>
    <row r="43" spans="1:7" ht="15.75" x14ac:dyDescent="0.2">
      <c r="A43" s="126" t="s">
        <v>32</v>
      </c>
    </row>
    <row r="44" spans="1:7" x14ac:dyDescent="0.2">
      <c r="A44" s="127" t="s">
        <v>33</v>
      </c>
      <c r="C44" s="128">
        <f>C12*1000</f>
        <v>2900000</v>
      </c>
      <c r="D44" s="85" t="s">
        <v>34</v>
      </c>
      <c r="E44" s="129"/>
    </row>
    <row r="45" spans="1:7" x14ac:dyDescent="0.2">
      <c r="A45" s="127" t="s">
        <v>35</v>
      </c>
      <c r="C45" s="85">
        <f>C44/C10</f>
        <v>500</v>
      </c>
      <c r="D45" s="85" t="s">
        <v>36</v>
      </c>
      <c r="E45" s="107"/>
    </row>
    <row r="46" spans="1:7" x14ac:dyDescent="0.2">
      <c r="A46" s="130"/>
      <c r="E46" s="107"/>
    </row>
    <row r="47" spans="1:7" x14ac:dyDescent="0.2">
      <c r="A47" s="127" t="s">
        <v>37</v>
      </c>
      <c r="E47" s="107"/>
    </row>
    <row r="48" spans="1:7" x14ac:dyDescent="0.2">
      <c r="A48" s="130" t="s">
        <v>38</v>
      </c>
      <c r="C48" s="128">
        <f>D12*1000</f>
        <v>200000</v>
      </c>
      <c r="D48" s="85" t="s">
        <v>34</v>
      </c>
      <c r="E48" s="107"/>
    </row>
    <row r="49" spans="1:5" x14ac:dyDescent="0.2">
      <c r="A49" s="130"/>
      <c r="E49" s="107"/>
    </row>
    <row r="50" spans="1:5" x14ac:dyDescent="0.2">
      <c r="A50" s="91" t="s">
        <v>44</v>
      </c>
      <c r="B50" s="91" t="s">
        <v>13</v>
      </c>
      <c r="C50" s="91" t="s">
        <v>24</v>
      </c>
    </row>
    <row r="51" spans="1:5" x14ac:dyDescent="0.2">
      <c r="A51" s="131" t="s">
        <v>87</v>
      </c>
      <c r="B51" s="85">
        <f>B4*B11</f>
        <v>5000</v>
      </c>
      <c r="C51" s="85">
        <f>C4*C11</f>
        <v>5700</v>
      </c>
      <c r="D51" s="91" t="s">
        <v>28</v>
      </c>
    </row>
    <row r="52" spans="1:5" x14ac:dyDescent="0.2">
      <c r="A52" s="132" t="s">
        <v>45</v>
      </c>
    </row>
    <row r="53" spans="1:5" x14ac:dyDescent="0.2">
      <c r="A53" s="131" t="s">
        <v>46</v>
      </c>
      <c r="B53" s="128">
        <f>B10-B51</f>
        <v>800</v>
      </c>
      <c r="C53" s="128">
        <f>C10-C51</f>
        <v>100</v>
      </c>
      <c r="D53" s="91" t="s">
        <v>28</v>
      </c>
    </row>
    <row r="54" spans="1:5" x14ac:dyDescent="0.2">
      <c r="A54" s="91"/>
    </row>
    <row r="55" spans="1:5" x14ac:dyDescent="0.2">
      <c r="A55" s="127" t="s">
        <v>88</v>
      </c>
      <c r="E55" s="107"/>
    </row>
    <row r="56" spans="1:5" x14ac:dyDescent="0.2">
      <c r="A56" s="130"/>
      <c r="E56" s="129"/>
    </row>
    <row r="57" spans="1:5" ht="25.5" x14ac:dyDescent="0.2">
      <c r="A57" s="130" t="s">
        <v>89</v>
      </c>
      <c r="C57" s="128">
        <f>(C10-C4*C11)*C45</f>
        <v>50000</v>
      </c>
      <c r="D57" s="85" t="s">
        <v>34</v>
      </c>
    </row>
    <row r="58" spans="1:5" x14ac:dyDescent="0.2">
      <c r="A58" s="130"/>
    </row>
    <row r="59" spans="1:5" x14ac:dyDescent="0.2">
      <c r="A59" s="127" t="s">
        <v>90</v>
      </c>
    </row>
    <row r="60" spans="1:5" x14ac:dyDescent="0.2">
      <c r="A60" s="130"/>
    </row>
    <row r="61" spans="1:5" ht="38.25" x14ac:dyDescent="0.2">
      <c r="A61" s="130" t="s">
        <v>91</v>
      </c>
      <c r="C61" s="128">
        <f>(B10-B4*B11)*C45</f>
        <v>400000</v>
      </c>
      <c r="D61" s="85" t="s">
        <v>34</v>
      </c>
    </row>
    <row r="62" spans="1:5" x14ac:dyDescent="0.2">
      <c r="A62" s="130"/>
    </row>
    <row r="63" spans="1:5" x14ac:dyDescent="0.2">
      <c r="A63" s="127" t="s">
        <v>39</v>
      </c>
    </row>
    <row r="64" spans="1:5" x14ac:dyDescent="0.2">
      <c r="A64" s="130"/>
    </row>
    <row r="65" spans="1:4" ht="25.5" x14ac:dyDescent="0.2">
      <c r="A65" s="130" t="s">
        <v>40</v>
      </c>
      <c r="C65" s="128">
        <f>B4*D11*C45</f>
        <v>-499999.99999999988</v>
      </c>
      <c r="D65" s="85" t="s">
        <v>34</v>
      </c>
    </row>
  </sheetData>
  <mergeCells count="2">
    <mergeCell ref="A1:F1"/>
    <mergeCell ref="A24:F24"/>
  </mergeCells>
  <pageMargins left="0.25" right="0.25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Standard (3)</vt:lpstr>
      <vt:lpstr>Munka1</vt:lpstr>
      <vt:lpstr>Standard</vt:lpstr>
    </vt:vector>
  </TitlesOfParts>
  <Company>SZVI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Szikora Péter</dc:creator>
  <cp:lastModifiedBy>Katona Ferenc</cp:lastModifiedBy>
  <cp:lastPrinted>2021-10-18T13:05:15Z</cp:lastPrinted>
  <dcterms:created xsi:type="dcterms:W3CDTF">2006-03-27T06:45:31Z</dcterms:created>
  <dcterms:modified xsi:type="dcterms:W3CDTF">2021-10-18T13:07:44Z</dcterms:modified>
</cp:coreProperties>
</file>