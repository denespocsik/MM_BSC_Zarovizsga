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ntendo\000\munka\controlling18192\"/>
    </mc:Choice>
  </mc:AlternateContent>
  <bookViews>
    <workbookView xWindow="120" yWindow="15" windowWidth="13275" windowHeight="7440" activeTab="1"/>
  </bookViews>
  <sheets>
    <sheet name="2.13." sheetId="2" r:id="rId1"/>
    <sheet name="2.feladat" sheetId="3" r:id="rId2"/>
  </sheets>
  <calcPr calcId="162913"/>
</workbook>
</file>

<file path=xl/calcChain.xml><?xml version="1.0" encoding="utf-8"?>
<calcChain xmlns="http://schemas.openxmlformats.org/spreadsheetml/2006/main">
  <c r="B36" i="3" l="1"/>
  <c r="D36" i="3"/>
  <c r="E36" i="3"/>
  <c r="H36" i="3" s="1"/>
  <c r="F36" i="3"/>
  <c r="G36" i="3"/>
  <c r="J36" i="3"/>
  <c r="B37" i="3"/>
  <c r="D37" i="3"/>
  <c r="E37" i="3"/>
  <c r="F37" i="3"/>
  <c r="G37" i="3"/>
  <c r="J37" i="3"/>
  <c r="B38" i="3"/>
  <c r="D38" i="3"/>
  <c r="E38" i="3"/>
  <c r="H38" i="3" s="1"/>
  <c r="F38" i="3"/>
  <c r="G38" i="3"/>
  <c r="J38" i="3"/>
  <c r="D42" i="3"/>
  <c r="J25" i="3" s="1"/>
  <c r="E42" i="3"/>
  <c r="J26" i="3" s="1"/>
  <c r="F42" i="3"/>
  <c r="F41" i="3" s="1"/>
  <c r="G42" i="3"/>
  <c r="G41" i="3" s="1"/>
  <c r="E45" i="3"/>
  <c r="F45" i="3" s="1"/>
  <c r="F46" i="3" s="1"/>
  <c r="F47" i="3" s="1"/>
  <c r="F48" i="3" s="1"/>
  <c r="E46" i="3"/>
  <c r="E47" i="3"/>
  <c r="E48" i="3"/>
  <c r="E49" i="3"/>
  <c r="M12" i="2"/>
  <c r="N12" i="2"/>
  <c r="O12" i="2"/>
  <c r="P12" i="2"/>
  <c r="M13" i="2"/>
  <c r="N13" i="2"/>
  <c r="O13" i="2"/>
  <c r="P13" i="2"/>
  <c r="M14" i="2"/>
  <c r="N14" i="2"/>
  <c r="O14" i="2"/>
  <c r="P14" i="2"/>
  <c r="L16" i="2"/>
  <c r="L17" i="2" s="1"/>
  <c r="M21" i="2"/>
  <c r="N21" i="2"/>
  <c r="O21" i="2"/>
  <c r="P21" i="2"/>
  <c r="M22" i="2"/>
  <c r="N22" i="2"/>
  <c r="O22" i="2"/>
  <c r="P22" i="2"/>
  <c r="M23" i="2"/>
  <c r="N23" i="2"/>
  <c r="M24" i="2" s="1"/>
  <c r="O23" i="2"/>
  <c r="P23" i="2"/>
  <c r="M32" i="2"/>
  <c r="N32" i="2"/>
  <c r="O32" i="2"/>
  <c r="P32" i="2"/>
  <c r="M33" i="2"/>
  <c r="N33" i="2"/>
  <c r="O33" i="2"/>
  <c r="O37" i="2" s="1"/>
  <c r="P33" i="2"/>
  <c r="T33" i="2"/>
  <c r="U33" i="2"/>
  <c r="V33" i="2"/>
  <c r="W33" i="2" s="1"/>
  <c r="W34" i="2" s="1"/>
  <c r="W35" i="2" s="1"/>
  <c r="M34" i="2"/>
  <c r="N34" i="2"/>
  <c r="O34" i="2"/>
  <c r="P34" i="2"/>
  <c r="T34" i="2"/>
  <c r="V34" i="2"/>
  <c r="T35" i="2"/>
  <c r="V35" i="2"/>
  <c r="T36" i="2"/>
  <c r="V36" i="2" s="1"/>
  <c r="M37" i="2"/>
  <c r="P37" i="2"/>
  <c r="M38" i="2"/>
  <c r="N38" i="2"/>
  <c r="O38" i="2"/>
  <c r="P38" i="2"/>
  <c r="K41" i="2"/>
  <c r="L41" i="2"/>
  <c r="M41" i="2"/>
  <c r="H37" i="3" l="1"/>
  <c r="J27" i="3"/>
  <c r="J29" i="3" s="1"/>
  <c r="L30" i="3" s="1"/>
  <c r="E50" i="3"/>
  <c r="C50" i="3" s="1"/>
  <c r="F49" i="3"/>
  <c r="E41" i="3"/>
  <c r="D41" i="3"/>
  <c r="W36" i="2"/>
  <c r="W31" i="2"/>
  <c r="V37" i="2" s="1"/>
  <c r="U37" i="2" s="1"/>
  <c r="M28" i="2"/>
  <c r="M29" i="2" s="1"/>
  <c r="N35" i="2" s="1"/>
  <c r="N37" i="2" s="1"/>
  <c r="M40" i="2" s="1"/>
  <c r="M42" i="2" s="1"/>
  <c r="W37" i="2" l="1"/>
</calcChain>
</file>

<file path=xl/sharedStrings.xml><?xml version="1.0" encoding="utf-8"?>
<sst xmlns="http://schemas.openxmlformats.org/spreadsheetml/2006/main" count="190" uniqueCount="99">
  <si>
    <t>Fedezet</t>
  </si>
  <si>
    <t>Q</t>
  </si>
  <si>
    <t>db</t>
  </si>
  <si>
    <t>Ft</t>
  </si>
  <si>
    <t>Eredmény</t>
  </si>
  <si>
    <t>Összes fedezet</t>
  </si>
  <si>
    <t>fajlagos fedezet</t>
  </si>
  <si>
    <t>2.sz</t>
  </si>
  <si>
    <t>gyártandó darabszám</t>
  </si>
  <si>
    <t>&gt;136000, ami a max szabad kapacitás</t>
  </si>
  <si>
    <t>1.sz</t>
  </si>
  <si>
    <t>Kapacitáson felüli darabszám</t>
  </si>
  <si>
    <t>3.sz</t>
  </si>
  <si>
    <t>Lekötött kereslet</t>
  </si>
  <si>
    <t>4.sz</t>
  </si>
  <si>
    <t>Kielégíthető piaci kereslet</t>
  </si>
  <si>
    <t>Összes felhasznált nó</t>
  </si>
  <si>
    <t>Nó felhasználás</t>
  </si>
  <si>
    <t>nó igény</t>
  </si>
  <si>
    <t>T</t>
  </si>
  <si>
    <t>TR</t>
  </si>
  <si>
    <t>Termékrangsor</t>
  </si>
  <si>
    <t>nó</t>
  </si>
  <si>
    <t>4.sz.</t>
  </si>
  <si>
    <t>3.sz.</t>
  </si>
  <si>
    <t>2.sz.</t>
  </si>
  <si>
    <t>1.sz.</t>
  </si>
  <si>
    <t>Megnevezés</t>
  </si>
  <si>
    <t>Max:</t>
  </si>
  <si>
    <t>(más megoldása ugyanennek:)</t>
  </si>
  <si>
    <t>2.sz. termékből nem legyártott mennyiség:</t>
  </si>
  <si>
    <t>Így a termékrangsor végén álló termék(ek)-ből nem fogunk annyit gyártani, amennyit a piac felvenne.</t>
  </si>
  <si>
    <t>Ez 40000 normaórával több, mint a rendelkezésre álló, így a piaci lehetőségeket teljesen nem tudjuk kihasználni</t>
  </si>
  <si>
    <t>összesen</t>
  </si>
  <si>
    <t>Kielégíthető piaci kereslet no szükséglete</t>
  </si>
  <si>
    <t>A szabad kapacitást a termékrangsor alapján használjuk fel</t>
  </si>
  <si>
    <t>szabad kapacitás</t>
  </si>
  <si>
    <t>A lekötött kapacitás</t>
  </si>
  <si>
    <t>Ft/nó</t>
  </si>
  <si>
    <t>Relatív fedezet</t>
  </si>
  <si>
    <t>Ft/db</t>
  </si>
  <si>
    <t>Fajlagos fedezet</t>
  </si>
  <si>
    <t>Megoldás</t>
  </si>
  <si>
    <t>A fel nem osztott költségek</t>
  </si>
  <si>
    <t>Gépi kapacitás</t>
  </si>
  <si>
    <t>Szállítási kötelezettség</t>
  </si>
  <si>
    <t>Piaci kereslet</t>
  </si>
  <si>
    <t>nó/db</t>
  </si>
  <si>
    <t>Normaóra igény</t>
  </si>
  <si>
    <t>Közvetlen önköltség</t>
  </si>
  <si>
    <t>Eladási ár</t>
  </si>
  <si>
    <t>mennyiségi egység</t>
  </si>
  <si>
    <t>Maradék alapanyagból még C-t gyártunk</t>
  </si>
  <si>
    <t>C</t>
  </si>
  <si>
    <t>Nincs ennyi alapanyagunk</t>
  </si>
  <si>
    <t>A</t>
  </si>
  <si>
    <t>B</t>
  </si>
  <si>
    <t xml:space="preserve"> (Minimum C) 0</t>
  </si>
  <si>
    <t>(Minimum B) 0</t>
  </si>
  <si>
    <t>felhasznált alaanyag max 15000kg</t>
  </si>
  <si>
    <t>össz alapanyag</t>
  </si>
  <si>
    <t>fajl. Alapanyag</t>
  </si>
  <si>
    <t>termék</t>
  </si>
  <si>
    <t>Termék rangsor</t>
  </si>
  <si>
    <t>relatív fedezet</t>
  </si>
  <si>
    <t>rangsor</t>
  </si>
  <si>
    <t>D</t>
  </si>
  <si>
    <t>&lt;</t>
  </si>
  <si>
    <t>gó</t>
  </si>
  <si>
    <t>Gépóra</t>
  </si>
  <si>
    <t>Normaóra:</t>
  </si>
  <si>
    <t>szűk keresztmetszet --&gt; ezzel dolgozunk tovább</t>
  </si>
  <si>
    <t>&gt;</t>
  </si>
  <si>
    <t>kg</t>
  </si>
  <si>
    <t>Alapanyag:</t>
  </si>
  <si>
    <t>Felhasználható Ef</t>
  </si>
  <si>
    <t>Max Ef igény</t>
  </si>
  <si>
    <t>A maximális értékesitési lehetőségek kihasználásához szükséges erőforrások mennyisége:</t>
  </si>
  <si>
    <t>Mft</t>
  </si>
  <si>
    <t>Közvetett költség=</t>
  </si>
  <si>
    <t>Felhasználható erőforrások mennyisége:</t>
  </si>
  <si>
    <t>Ny=</t>
  </si>
  <si>
    <t>gó/db</t>
  </si>
  <si>
    <t>Normaóra</t>
  </si>
  <si>
    <t>kg/db</t>
  </si>
  <si>
    <t>Alapanyag</t>
  </si>
  <si>
    <t>Fajlagos felhasználások:</t>
  </si>
  <si>
    <t>Értékesítési maximum</t>
  </si>
  <si>
    <t>Fö (Mft)</t>
  </si>
  <si>
    <t>Termék</t>
  </si>
  <si>
    <t>Értékesítési minimum</t>
  </si>
  <si>
    <t>Termékszerkezet</t>
  </si>
  <si>
    <t>Nettó eladási ár</t>
  </si>
  <si>
    <t>Me.</t>
  </si>
  <si>
    <t>2.FELADAT</t>
  </si>
  <si>
    <t>Egy vállalkozásról az alábbi adatok ismertek az adott termelési időszakban:</t>
  </si>
  <si>
    <t>TERMÉKEK:</t>
  </si>
  <si>
    <t>Határozza meg az optimális termékösszetételt a lehető legmagasabb nyereség elérése érdekében!</t>
  </si>
  <si>
    <t>Számolja ki menny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</si>
</sst>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2" fillId="0" borderId="0"/>
  </cellStyleXfs>
  <cellXfs count="61">
    <xf numFmtId="0" fontId="0" fillId="0" borderId="0" xfId="0"/>
    <xf numFmtId="0" fontId="3" fillId="0" borderId="0" xfId="2"/>
    <xf numFmtId="0" fontId="3" fillId="0" borderId="1" xfId="2" applyBorder="1"/>
    <xf numFmtId="0" fontId="3" fillId="3" borderId="1" xfId="2" applyFill="1" applyBorder="1"/>
    <xf numFmtId="0" fontId="4" fillId="0" borderId="1" xfId="2" applyFont="1" applyBorder="1"/>
    <xf numFmtId="0" fontId="3" fillId="2" borderId="1" xfId="2" applyFill="1" applyBorder="1"/>
    <xf numFmtId="0" fontId="5" fillId="0" borderId="0" xfId="2" applyFont="1"/>
    <xf numFmtId="0" fontId="4" fillId="0" borderId="0" xfId="2" applyFont="1"/>
    <xf numFmtId="0" fontId="6" fillId="0" borderId="0" xfId="2" applyFont="1"/>
    <xf numFmtId="0" fontId="2" fillId="0" borderId="0" xfId="3"/>
    <xf numFmtId="0" fontId="2" fillId="0" borderId="0" xfId="3" applyAlignment="1">
      <alignment wrapText="1"/>
    </xf>
    <xf numFmtId="0" fontId="1" fillId="0" borderId="0" xfId="3" applyFont="1"/>
    <xf numFmtId="0" fontId="2" fillId="2" borderId="0" xfId="3" applyFill="1"/>
    <xf numFmtId="0" fontId="2" fillId="2" borderId="0" xfId="3" applyFill="1" applyAlignment="1">
      <alignment horizontal="right"/>
    </xf>
    <xf numFmtId="0" fontId="2" fillId="2" borderId="1" xfId="3" applyFill="1" applyBorder="1"/>
    <xf numFmtId="0" fontId="2" fillId="2" borderId="1" xfId="3" applyFill="1" applyBorder="1" applyAlignment="1">
      <alignment horizontal="right"/>
    </xf>
    <xf numFmtId="0" fontId="7" fillId="2" borderId="1" xfId="3" applyFont="1" applyFill="1" applyBorder="1"/>
    <xf numFmtId="0" fontId="2" fillId="2" borderId="1" xfId="3" applyFill="1" applyBorder="1" applyAlignment="1">
      <alignment horizontal="right" indent="1"/>
    </xf>
    <xf numFmtId="0" fontId="2" fillId="0" borderId="0" xfId="3" applyBorder="1"/>
    <xf numFmtId="0" fontId="2" fillId="0" borderId="1" xfId="3" applyBorder="1"/>
    <xf numFmtId="0" fontId="2" fillId="2" borderId="2" xfId="3" applyFill="1" applyBorder="1"/>
    <xf numFmtId="0" fontId="2" fillId="0" borderId="3" xfId="3" applyBorder="1"/>
    <xf numFmtId="0" fontId="2" fillId="2" borderId="3" xfId="3" applyFill="1" applyBorder="1"/>
    <xf numFmtId="0" fontId="2" fillId="2" borderId="3" xfId="3" applyFill="1" applyBorder="1" applyAlignment="1">
      <alignment horizontal="left" indent="1"/>
    </xf>
    <xf numFmtId="0" fontId="2" fillId="0" borderId="4" xfId="3" applyBorder="1"/>
    <xf numFmtId="0" fontId="2" fillId="2" borderId="4" xfId="3" applyFill="1" applyBorder="1"/>
    <xf numFmtId="0" fontId="2" fillId="2" borderId="4" xfId="3" applyFill="1" applyBorder="1" applyAlignment="1">
      <alignment horizontal="left" indent="1"/>
    </xf>
    <xf numFmtId="0" fontId="2" fillId="2" borderId="1" xfId="3" applyFill="1" applyBorder="1" applyAlignment="1">
      <alignment horizontal="left" indent="1"/>
    </xf>
    <xf numFmtId="0" fontId="2" fillId="0" borderId="1" xfId="3" applyBorder="1" applyAlignment="1">
      <alignment horizontal="center"/>
    </xf>
    <xf numFmtId="0" fontId="2" fillId="2" borderId="1" xfId="3" applyFill="1" applyBorder="1" applyAlignment="1">
      <alignment horizontal="center"/>
    </xf>
    <xf numFmtId="0" fontId="2" fillId="0" borderId="0" xfId="3" applyAlignment="1">
      <alignment horizontal="center"/>
    </xf>
    <xf numFmtId="0" fontId="2" fillId="2" borderId="5" xfId="3" applyFill="1" applyBorder="1"/>
    <xf numFmtId="0" fontId="2" fillId="0" borderId="0" xfId="3" applyAlignment="1">
      <alignment horizontal="center" wrapText="1"/>
    </xf>
    <xf numFmtId="0" fontId="2" fillId="2" borderId="1" xfId="3" applyFill="1" applyBorder="1" applyAlignment="1">
      <alignment horizontal="left" vertical="top" wrapText="1"/>
    </xf>
    <xf numFmtId="0" fontId="2" fillId="0" borderId="1" xfId="3" applyBorder="1" applyAlignment="1">
      <alignment horizontal="right"/>
    </xf>
    <xf numFmtId="0" fontId="2" fillId="0" borderId="2" xfId="3" applyBorder="1"/>
    <xf numFmtId="0" fontId="2" fillId="2" borderId="6" xfId="3" applyFill="1" applyBorder="1"/>
    <xf numFmtId="0" fontId="2" fillId="4" borderId="7" xfId="3" applyFill="1" applyBorder="1"/>
    <xf numFmtId="0" fontId="2" fillId="5" borderId="1" xfId="3" applyFill="1" applyBorder="1" applyAlignment="1">
      <alignment horizontal="right"/>
    </xf>
    <xf numFmtId="0" fontId="2" fillId="4" borderId="1" xfId="3" applyFill="1" applyBorder="1" applyAlignment="1">
      <alignment horizontal="left" indent="1"/>
    </xf>
    <xf numFmtId="0" fontId="2" fillId="6" borderId="1" xfId="3" applyFill="1" applyBorder="1"/>
    <xf numFmtId="0" fontId="2" fillId="7" borderId="1" xfId="3" applyFill="1" applyBorder="1"/>
    <xf numFmtId="0" fontId="2" fillId="7" borderId="2" xfId="3" applyFill="1" applyBorder="1"/>
    <xf numFmtId="0" fontId="2" fillId="4" borderId="4" xfId="3" applyFill="1" applyBorder="1" applyAlignment="1">
      <alignment horizontal="center"/>
    </xf>
    <xf numFmtId="0" fontId="2" fillId="4" borderId="1" xfId="3" applyFill="1" applyBorder="1" applyAlignment="1">
      <alignment horizontal="center"/>
    </xf>
    <xf numFmtId="0" fontId="2" fillId="5" borderId="1" xfId="3" applyFill="1" applyBorder="1" applyAlignment="1">
      <alignment horizontal="center"/>
    </xf>
    <xf numFmtId="0" fontId="2" fillId="4" borderId="1" xfId="3" applyFill="1" applyBorder="1" applyAlignment="1">
      <alignment horizontal="center"/>
    </xf>
    <xf numFmtId="0" fontId="2" fillId="0" borderId="8" xfId="3" applyBorder="1"/>
    <xf numFmtId="0" fontId="2" fillId="4" borderId="1" xfId="3" applyFill="1" applyBorder="1"/>
    <xf numFmtId="0" fontId="0" fillId="0" borderId="0" xfId="0" applyAlignment="1">
      <alignment horizontal="left" wrapText="1"/>
    </xf>
    <xf numFmtId="0" fontId="0" fillId="0" borderId="0" xfId="0" applyFill="1" applyBorder="1"/>
    <xf numFmtId="0" fontId="2" fillId="2" borderId="1" xfId="3" applyFill="1" applyBorder="1" applyAlignment="1">
      <alignment horizontal="center" wrapText="1"/>
    </xf>
    <xf numFmtId="0" fontId="2" fillId="2" borderId="1" xfId="3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2" borderId="1" xfId="3" applyFill="1" applyBorder="1" applyAlignment="1">
      <alignment horizontal="center"/>
    </xf>
    <xf numFmtId="0" fontId="2" fillId="2" borderId="4" xfId="3" applyFill="1" applyBorder="1" applyAlignment="1">
      <alignment horizontal="center"/>
    </xf>
    <xf numFmtId="0" fontId="0" fillId="0" borderId="0" xfId="0" applyAlignment="1"/>
    <xf numFmtId="0" fontId="2" fillId="2" borderId="7" xfId="3" applyFill="1" applyBorder="1"/>
    <xf numFmtId="0" fontId="0" fillId="0" borderId="0" xfId="0" applyNumberFormat="1" applyAlignment="1">
      <alignment wrapText="1"/>
    </xf>
    <xf numFmtId="0" fontId="2" fillId="2" borderId="0" xfId="3" applyFill="1" applyBorder="1" applyAlignment="1">
      <alignment horizontal="left" indent="1"/>
    </xf>
  </cellXfs>
  <cellStyles count="4">
    <cellStyle name="Normál" xfId="0" builtinId="0"/>
    <cellStyle name="Normál 2" xfId="1"/>
    <cellStyle name="Normál 2 2" xfId="3"/>
    <cellStyle name="Normá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95238" cy="3790476"/>
    <xdr:pic>
      <xdr:nvPicPr>
        <xdr:cNvPr id="2" name="Kép 1">
          <a:extLst>
            <a:ext uri="{FF2B5EF4-FFF2-40B4-BE49-F238E27FC236}">
              <a16:creationId xmlns:a16="http://schemas.microsoft.com/office/drawing/2014/main" id="{FFA3CEED-E9C8-4AEF-AEB1-726E9C15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95238" cy="37904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X42"/>
  <sheetViews>
    <sheetView topLeftCell="A9" workbookViewId="0">
      <selection activeCell="N35" sqref="N35"/>
    </sheetView>
  </sheetViews>
  <sheetFormatPr defaultRowHeight="15" x14ac:dyDescent="0.25"/>
  <cols>
    <col min="1" max="10" width="9.140625" style="1"/>
    <col min="11" max="11" width="25.7109375" style="1" bestFit="1" customWidth="1"/>
    <col min="12" max="12" width="11.85546875" style="1" customWidth="1"/>
    <col min="13" max="13" width="11" style="1" bestFit="1" customWidth="1"/>
    <col min="14" max="14" width="10" style="1" bestFit="1" customWidth="1"/>
    <col min="15" max="16384" width="9.140625" style="1"/>
  </cols>
  <sheetData>
    <row r="1" spans="11:16" x14ac:dyDescent="0.25">
      <c r="K1" s="1" t="s">
        <v>27</v>
      </c>
      <c r="L1" s="1" t="s">
        <v>51</v>
      </c>
      <c r="M1" s="1" t="s">
        <v>26</v>
      </c>
      <c r="N1" s="1" t="s">
        <v>25</v>
      </c>
      <c r="O1" s="1" t="s">
        <v>24</v>
      </c>
      <c r="P1" s="1" t="s">
        <v>23</v>
      </c>
    </row>
    <row r="2" spans="11:16" x14ac:dyDescent="0.25">
      <c r="K2" s="1" t="s">
        <v>50</v>
      </c>
      <c r="L2" s="1" t="s">
        <v>40</v>
      </c>
      <c r="M2" s="1">
        <v>24000</v>
      </c>
      <c r="N2" s="1">
        <v>20000</v>
      </c>
      <c r="O2" s="1">
        <v>18000</v>
      </c>
      <c r="P2" s="1">
        <v>22000</v>
      </c>
    </row>
    <row r="3" spans="11:16" x14ac:dyDescent="0.25">
      <c r="K3" s="1" t="s">
        <v>49</v>
      </c>
      <c r="L3" s="1" t="s">
        <v>40</v>
      </c>
      <c r="M3" s="1">
        <v>4000</v>
      </c>
      <c r="N3" s="1">
        <v>6000</v>
      </c>
      <c r="O3" s="1">
        <v>5000</v>
      </c>
      <c r="P3" s="1">
        <v>8000</v>
      </c>
    </row>
    <row r="4" spans="11:16" x14ac:dyDescent="0.25">
      <c r="K4" s="1" t="s">
        <v>48</v>
      </c>
      <c r="L4" s="1" t="s">
        <v>47</v>
      </c>
      <c r="M4" s="1">
        <v>8</v>
      </c>
      <c r="N4" s="1">
        <v>10</v>
      </c>
      <c r="O4" s="1">
        <v>5</v>
      </c>
      <c r="P4" s="1">
        <v>4</v>
      </c>
    </row>
    <row r="5" spans="11:16" x14ac:dyDescent="0.25">
      <c r="K5" s="1" t="s">
        <v>46</v>
      </c>
      <c r="L5" s="1" t="s">
        <v>2</v>
      </c>
      <c r="M5" s="1">
        <v>24000</v>
      </c>
      <c r="N5" s="1">
        <v>26000</v>
      </c>
      <c r="O5" s="1">
        <v>16000</v>
      </c>
      <c r="P5" s="1">
        <v>12000</v>
      </c>
    </row>
    <row r="6" spans="11:16" x14ac:dyDescent="0.25">
      <c r="K6" s="1" t="s">
        <v>45</v>
      </c>
      <c r="L6" s="1" t="s">
        <v>2</v>
      </c>
      <c r="M6" s="1">
        <v>18000</v>
      </c>
      <c r="N6" s="1">
        <v>16000</v>
      </c>
      <c r="O6" s="1">
        <v>12000</v>
      </c>
      <c r="P6" s="1">
        <v>10000</v>
      </c>
    </row>
    <row r="8" spans="11:16" x14ac:dyDescent="0.25">
      <c r="K8" s="1" t="s">
        <v>44</v>
      </c>
      <c r="M8" s="1">
        <v>540000</v>
      </c>
      <c r="N8" s="1" t="s">
        <v>22</v>
      </c>
    </row>
    <row r="9" spans="11:16" x14ac:dyDescent="0.25">
      <c r="K9" s="1" t="s">
        <v>43</v>
      </c>
      <c r="M9" s="1">
        <v>754000000</v>
      </c>
      <c r="N9" s="1" t="s">
        <v>3</v>
      </c>
    </row>
    <row r="11" spans="11:16" x14ac:dyDescent="0.25">
      <c r="K11" s="8" t="s">
        <v>42</v>
      </c>
    </row>
    <row r="12" spans="11:16" x14ac:dyDescent="0.25">
      <c r="K12" s="1" t="s">
        <v>41</v>
      </c>
      <c r="L12" s="1" t="s">
        <v>40</v>
      </c>
      <c r="M12" s="1">
        <f>M2-M3</f>
        <v>20000</v>
      </c>
      <c r="N12" s="1">
        <f>N2-N3</f>
        <v>14000</v>
      </c>
      <c r="O12" s="1">
        <f>O2-O3</f>
        <v>13000</v>
      </c>
      <c r="P12" s="1">
        <f>P2-P3</f>
        <v>14000</v>
      </c>
    </row>
    <row r="13" spans="11:16" x14ac:dyDescent="0.25">
      <c r="K13" s="1" t="s">
        <v>39</v>
      </c>
      <c r="L13" s="1" t="s">
        <v>38</v>
      </c>
      <c r="M13" s="1">
        <f>M12/M4</f>
        <v>2500</v>
      </c>
      <c r="N13" s="1">
        <f>N12/N4</f>
        <v>1400</v>
      </c>
      <c r="O13" s="1">
        <f>O12/O4</f>
        <v>2600</v>
      </c>
      <c r="P13" s="1">
        <f>P12/P4</f>
        <v>3500</v>
      </c>
    </row>
    <row r="14" spans="11:16" x14ac:dyDescent="0.25">
      <c r="K14" s="1" t="s">
        <v>21</v>
      </c>
      <c r="M14" s="1">
        <f>_xlfn.RANK.EQ(M13,$M$13:$P$13)</f>
        <v>3</v>
      </c>
      <c r="N14" s="1">
        <f>_xlfn.RANK.EQ(N13,$M$13:$P$13)</f>
        <v>4</v>
      </c>
      <c r="O14" s="1">
        <f>_xlfn.RANK.EQ(O13,$M$13:$P$13)</f>
        <v>2</v>
      </c>
      <c r="P14" s="1">
        <f>_xlfn.RANK.EQ(P13,$M$13:$P$13)</f>
        <v>1</v>
      </c>
    </row>
    <row r="16" spans="11:16" x14ac:dyDescent="0.25">
      <c r="K16" s="1" t="s">
        <v>37</v>
      </c>
      <c r="L16" s="1">
        <f>SUMPRODUCT(M6:P6,M4:P4)</f>
        <v>404000</v>
      </c>
      <c r="M16" s="1" t="s">
        <v>22</v>
      </c>
    </row>
    <row r="17" spans="11:24" x14ac:dyDescent="0.25">
      <c r="K17" s="1" t="s">
        <v>36</v>
      </c>
      <c r="L17" s="1">
        <f>M8-L16</f>
        <v>136000</v>
      </c>
      <c r="M17" s="1" t="s">
        <v>22</v>
      </c>
    </row>
    <row r="19" spans="11:24" x14ac:dyDescent="0.25">
      <c r="K19" s="1" t="s">
        <v>35</v>
      </c>
    </row>
    <row r="20" spans="11:24" x14ac:dyDescent="0.25">
      <c r="K20" s="1" t="s">
        <v>27</v>
      </c>
      <c r="M20" s="1" t="s">
        <v>26</v>
      </c>
      <c r="N20" s="1" t="s">
        <v>25</v>
      </c>
      <c r="O20" s="1" t="s">
        <v>24</v>
      </c>
      <c r="P20" s="1" t="s">
        <v>23</v>
      </c>
    </row>
    <row r="21" spans="11:24" x14ac:dyDescent="0.25">
      <c r="K21" s="7" t="s">
        <v>21</v>
      </c>
      <c r="L21" s="7"/>
      <c r="M21" s="7">
        <f>M14</f>
        <v>3</v>
      </c>
      <c r="N21" s="7">
        <f>N14</f>
        <v>4</v>
      </c>
      <c r="O21" s="7">
        <f>O14</f>
        <v>2</v>
      </c>
      <c r="P21" s="7">
        <f>P14</f>
        <v>1</v>
      </c>
    </row>
    <row r="22" spans="11:24" x14ac:dyDescent="0.25">
      <c r="K22" s="7" t="s">
        <v>15</v>
      </c>
      <c r="L22" s="7"/>
      <c r="M22" s="7">
        <f>M5-M6</f>
        <v>6000</v>
      </c>
      <c r="N22" s="7">
        <f>N5-N6</f>
        <v>10000</v>
      </c>
      <c r="O22" s="7">
        <f>O5-O6</f>
        <v>4000</v>
      </c>
      <c r="P22" s="7">
        <f>P5-P6</f>
        <v>2000</v>
      </c>
      <c r="Q22" s="1" t="s">
        <v>2</v>
      </c>
    </row>
    <row r="23" spans="11:24" x14ac:dyDescent="0.25">
      <c r="K23" s="1" t="s">
        <v>34</v>
      </c>
      <c r="M23" s="1">
        <f>M22*M4</f>
        <v>48000</v>
      </c>
      <c r="N23" s="1">
        <f>N22*N4</f>
        <v>100000</v>
      </c>
      <c r="O23" s="1">
        <f>O22*O4</f>
        <v>20000</v>
      </c>
      <c r="P23" s="1">
        <f>P22*P4</f>
        <v>8000</v>
      </c>
      <c r="Q23" s="1" t="s">
        <v>22</v>
      </c>
    </row>
    <row r="24" spans="11:24" x14ac:dyDescent="0.25">
      <c r="L24" s="1" t="s">
        <v>33</v>
      </c>
      <c r="M24" s="1">
        <f>SUM(M23:P23)</f>
        <v>176000</v>
      </c>
      <c r="N24" s="1" t="s">
        <v>22</v>
      </c>
    </row>
    <row r="25" spans="11:24" x14ac:dyDescent="0.25">
      <c r="K25" s="1" t="s">
        <v>32</v>
      </c>
    </row>
    <row r="26" spans="11:24" x14ac:dyDescent="0.25">
      <c r="K26" s="1" t="s">
        <v>31</v>
      </c>
    </row>
    <row r="28" spans="11:24" x14ac:dyDescent="0.25">
      <c r="M28" s="1">
        <f>L17-M24</f>
        <v>-40000</v>
      </c>
    </row>
    <row r="29" spans="11:24" x14ac:dyDescent="0.25">
      <c r="K29" s="1" t="s">
        <v>30</v>
      </c>
      <c r="M29" s="1">
        <f>-M28/N4</f>
        <v>4000</v>
      </c>
      <c r="N29" s="1" t="s">
        <v>2</v>
      </c>
    </row>
    <row r="30" spans="11:24" x14ac:dyDescent="0.25">
      <c r="R30" s="1" t="s">
        <v>29</v>
      </c>
      <c r="W30" s="1" t="s">
        <v>28</v>
      </c>
    </row>
    <row r="31" spans="11:24" x14ac:dyDescent="0.25">
      <c r="K31" s="1" t="s">
        <v>27</v>
      </c>
      <c r="M31" s="1" t="s">
        <v>26</v>
      </c>
      <c r="N31" s="1" t="s">
        <v>25</v>
      </c>
      <c r="O31" s="1" t="s">
        <v>24</v>
      </c>
      <c r="P31" s="1" t="s">
        <v>23</v>
      </c>
      <c r="W31" s="6">
        <f>L17</f>
        <v>136000</v>
      </c>
      <c r="X31" s="1" t="s">
        <v>22</v>
      </c>
    </row>
    <row r="32" spans="11:24" x14ac:dyDescent="0.25">
      <c r="K32" s="1" t="s">
        <v>21</v>
      </c>
      <c r="M32" s="1">
        <f>M21</f>
        <v>3</v>
      </c>
      <c r="N32" s="1">
        <f>N21</f>
        <v>4</v>
      </c>
      <c r="O32" s="1">
        <f>O21</f>
        <v>2</v>
      </c>
      <c r="P32" s="1">
        <f>P21</f>
        <v>1</v>
      </c>
      <c r="R32" s="4" t="s">
        <v>20</v>
      </c>
      <c r="S32" s="2" t="s">
        <v>19</v>
      </c>
      <c r="T32" s="2" t="s">
        <v>18</v>
      </c>
      <c r="U32" s="4" t="s">
        <v>1</v>
      </c>
      <c r="V32" s="2" t="s">
        <v>17</v>
      </c>
      <c r="W32" s="2" t="s">
        <v>16</v>
      </c>
    </row>
    <row r="33" spans="11:24" x14ac:dyDescent="0.25">
      <c r="K33" s="1" t="s">
        <v>15</v>
      </c>
      <c r="M33" s="1">
        <f>M22</f>
        <v>6000</v>
      </c>
      <c r="N33" s="1">
        <f>N22</f>
        <v>10000</v>
      </c>
      <c r="O33" s="1">
        <f>O22</f>
        <v>4000</v>
      </c>
      <c r="P33" s="1">
        <f>P22</f>
        <v>2000</v>
      </c>
      <c r="R33" s="4">
        <v>1</v>
      </c>
      <c r="S33" s="2" t="s">
        <v>14</v>
      </c>
      <c r="T33" s="2">
        <f>P4</f>
        <v>4</v>
      </c>
      <c r="U33" s="2">
        <f>P22</f>
        <v>2000</v>
      </c>
      <c r="V33" s="2">
        <f>T33*U33</f>
        <v>8000</v>
      </c>
      <c r="W33" s="2">
        <f>V33</f>
        <v>8000</v>
      </c>
    </row>
    <row r="34" spans="11:24" x14ac:dyDescent="0.25">
      <c r="K34" s="1" t="s">
        <v>13</v>
      </c>
      <c r="M34" s="1">
        <f>M6</f>
        <v>18000</v>
      </c>
      <c r="N34" s="1">
        <f>N6</f>
        <v>16000</v>
      </c>
      <c r="O34" s="1">
        <f>O6</f>
        <v>12000</v>
      </c>
      <c r="P34" s="1">
        <f>P6</f>
        <v>10000</v>
      </c>
      <c r="R34" s="4">
        <v>2</v>
      </c>
      <c r="S34" s="2" t="s">
        <v>12</v>
      </c>
      <c r="T34" s="2">
        <f>O4</f>
        <v>5</v>
      </c>
      <c r="U34" s="2">
        <v>4000</v>
      </c>
      <c r="V34" s="2">
        <f>T34*U34</f>
        <v>20000</v>
      </c>
      <c r="W34" s="2">
        <f>W33+V34</f>
        <v>28000</v>
      </c>
    </row>
    <row r="35" spans="11:24" x14ac:dyDescent="0.25">
      <c r="K35" s="1" t="s">
        <v>11</v>
      </c>
      <c r="N35" s="1">
        <f>M29</f>
        <v>4000</v>
      </c>
      <c r="R35" s="4">
        <v>3</v>
      </c>
      <c r="S35" s="2" t="s">
        <v>10</v>
      </c>
      <c r="T35" s="2">
        <f>M4</f>
        <v>8</v>
      </c>
      <c r="U35" s="5">
        <v>6000</v>
      </c>
      <c r="V35" s="5">
        <f>T35*U35</f>
        <v>48000</v>
      </c>
      <c r="W35" s="5">
        <f>W34+V35</f>
        <v>76000</v>
      </c>
    </row>
    <row r="36" spans="11:24" x14ac:dyDescent="0.25">
      <c r="R36" s="4">
        <v>4</v>
      </c>
      <c r="S36" s="2" t="s">
        <v>7</v>
      </c>
      <c r="T36" s="2">
        <f>N4</f>
        <v>10</v>
      </c>
      <c r="U36" s="3">
        <v>10000</v>
      </c>
      <c r="V36" s="3">
        <f>T36*U36</f>
        <v>100000</v>
      </c>
      <c r="W36" s="3">
        <f>W35+V36</f>
        <v>176000</v>
      </c>
      <c r="X36" s="1" t="s">
        <v>9</v>
      </c>
    </row>
    <row r="37" spans="11:24" x14ac:dyDescent="0.25">
      <c r="K37" s="1" t="s">
        <v>8</v>
      </c>
      <c r="M37" s="1">
        <f>SUM(M33:M34)-M35</f>
        <v>24000</v>
      </c>
      <c r="N37" s="1">
        <f>SUM(N33:N34)-N35</f>
        <v>22000</v>
      </c>
      <c r="O37" s="1">
        <f>SUM(O33:O34)-O35</f>
        <v>16000</v>
      </c>
      <c r="P37" s="1">
        <f>SUM(P33:P34)-P35</f>
        <v>12000</v>
      </c>
      <c r="R37" s="2"/>
      <c r="S37" s="2" t="s">
        <v>7</v>
      </c>
      <c r="T37" s="2">
        <v>10</v>
      </c>
      <c r="U37" s="2">
        <f>V37/T37</f>
        <v>6000</v>
      </c>
      <c r="V37" s="2">
        <f>W31-W35</f>
        <v>60000</v>
      </c>
      <c r="W37" s="2">
        <f>W35+V37</f>
        <v>136000</v>
      </c>
    </row>
    <row r="38" spans="11:24" x14ac:dyDescent="0.25">
      <c r="K38" s="1" t="s">
        <v>6</v>
      </c>
      <c r="M38" s="1">
        <f>M12</f>
        <v>20000</v>
      </c>
      <c r="N38" s="1">
        <f>N12</f>
        <v>14000</v>
      </c>
      <c r="O38" s="1">
        <f>O12</f>
        <v>13000</v>
      </c>
      <c r="P38" s="1">
        <f>P12</f>
        <v>14000</v>
      </c>
    </row>
    <row r="40" spans="11:24" x14ac:dyDescent="0.25">
      <c r="K40" s="1" t="s">
        <v>5</v>
      </c>
      <c r="M40" s="1">
        <f>SUMPRODUCT(M37:P37,M38:P38)</f>
        <v>1164000000</v>
      </c>
      <c r="N40" s="1" t="s">
        <v>3</v>
      </c>
    </row>
    <row r="41" spans="11:24" x14ac:dyDescent="0.25">
      <c r="K41" s="1" t="str">
        <f>K9</f>
        <v>A fel nem osztott költségek</v>
      </c>
      <c r="L41" s="1">
        <f>L9</f>
        <v>0</v>
      </c>
      <c r="M41" s="1">
        <f>M9</f>
        <v>754000000</v>
      </c>
      <c r="N41" s="1" t="s">
        <v>3</v>
      </c>
    </row>
    <row r="42" spans="11:24" x14ac:dyDescent="0.25">
      <c r="K42" s="1" t="s">
        <v>4</v>
      </c>
      <c r="M42" s="1">
        <f>M40-M9</f>
        <v>410000000</v>
      </c>
      <c r="N42" s="1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A10" workbookViewId="0">
      <selection activeCell="D19" sqref="D19"/>
    </sheetView>
  </sheetViews>
  <sheetFormatPr defaultRowHeight="15" x14ac:dyDescent="0.25"/>
  <cols>
    <col min="1" max="1" width="24.42578125" style="9" customWidth="1"/>
    <col min="2" max="3" width="9.140625" style="9"/>
    <col min="4" max="4" width="13.28515625" style="9" bestFit="1" customWidth="1"/>
    <col min="5" max="5" width="9.140625" style="9"/>
    <col min="6" max="6" width="7" style="9" customWidth="1"/>
    <col min="7" max="7" width="9.140625" style="9" customWidth="1"/>
    <col min="8" max="16384" width="9.140625" style="9"/>
  </cols>
  <sheetData>
    <row r="1" spans="1:12" x14ac:dyDescent="0.25">
      <c r="A1" s="49" t="s">
        <v>94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5">
      <c r="A3" s="50" t="s">
        <v>95</v>
      </c>
      <c r="B3"/>
      <c r="C3"/>
      <c r="D3"/>
      <c r="E3"/>
      <c r="F3"/>
      <c r="G3"/>
      <c r="H3"/>
      <c r="I3"/>
      <c r="J3"/>
      <c r="K3"/>
      <c r="L3"/>
    </row>
    <row r="4" spans="1:12" x14ac:dyDescent="0.25">
      <c r="A4" s="51" t="s">
        <v>27</v>
      </c>
      <c r="B4" s="29" t="s">
        <v>93</v>
      </c>
      <c r="C4" s="29" t="s">
        <v>96</v>
      </c>
      <c r="D4" s="29" t="s">
        <v>55</v>
      </c>
      <c r="E4" s="29" t="s">
        <v>56</v>
      </c>
      <c r="F4" s="29" t="s">
        <v>53</v>
      </c>
      <c r="G4" s="29" t="s">
        <v>66</v>
      </c>
      <c r="H4"/>
      <c r="I4"/>
      <c r="J4"/>
      <c r="K4"/>
      <c r="L4"/>
    </row>
    <row r="5" spans="1:12" x14ac:dyDescent="0.25">
      <c r="A5" s="52" t="s">
        <v>92</v>
      </c>
      <c r="B5" s="29" t="s">
        <v>40</v>
      </c>
      <c r="C5" s="29"/>
      <c r="D5" s="29">
        <v>49000</v>
      </c>
      <c r="E5" s="29">
        <v>56000</v>
      </c>
      <c r="F5" s="29">
        <v>38000</v>
      </c>
      <c r="G5" s="29">
        <v>56000</v>
      </c>
      <c r="H5" s="53"/>
      <c r="I5" s="53"/>
      <c r="J5" s="53"/>
      <c r="K5" s="53"/>
      <c r="L5" s="53"/>
    </row>
    <row r="6" spans="1:12" x14ac:dyDescent="0.25">
      <c r="A6" s="52" t="s">
        <v>49</v>
      </c>
      <c r="B6" s="29" t="s">
        <v>40</v>
      </c>
      <c r="C6" s="29"/>
      <c r="D6" s="29">
        <v>15000</v>
      </c>
      <c r="E6" s="29">
        <v>22000</v>
      </c>
      <c r="F6" s="29">
        <v>17000</v>
      </c>
      <c r="G6" s="29">
        <v>20000</v>
      </c>
      <c r="H6" s="53"/>
      <c r="I6" s="53"/>
      <c r="J6" s="53"/>
      <c r="K6" s="53"/>
      <c r="L6" s="53"/>
    </row>
    <row r="7" spans="1:12" x14ac:dyDescent="0.25">
      <c r="A7" s="52" t="s">
        <v>90</v>
      </c>
      <c r="B7" s="29" t="s">
        <v>2</v>
      </c>
      <c r="C7" s="29"/>
      <c r="D7" s="29">
        <v>0</v>
      </c>
      <c r="E7" s="29">
        <v>100</v>
      </c>
      <c r="F7" s="29">
        <v>250</v>
      </c>
      <c r="G7" s="29">
        <v>0</v>
      </c>
      <c r="H7" s="54"/>
      <c r="I7" s="54"/>
      <c r="J7" s="54"/>
      <c r="K7" s="54"/>
      <c r="L7" s="54"/>
    </row>
    <row r="8" spans="1:12" x14ac:dyDescent="0.25">
      <c r="A8" s="52" t="s">
        <v>87</v>
      </c>
      <c r="B8" s="29" t="s">
        <v>2</v>
      </c>
      <c r="C8" s="29"/>
      <c r="D8" s="29">
        <v>1500</v>
      </c>
      <c r="E8" s="29">
        <v>1000</v>
      </c>
      <c r="F8" s="29">
        <v>1200</v>
      </c>
      <c r="G8" s="29">
        <v>1100</v>
      </c>
      <c r="H8"/>
      <c r="I8"/>
      <c r="J8"/>
      <c r="K8"/>
      <c r="L8"/>
    </row>
    <row r="9" spans="1:12" x14ac:dyDescent="0.25">
      <c r="A9" s="14" t="s">
        <v>86</v>
      </c>
      <c r="B9" s="29"/>
      <c r="C9" s="29"/>
      <c r="D9" s="29"/>
      <c r="E9" s="29"/>
      <c r="F9" s="29"/>
      <c r="G9" s="29"/>
      <c r="H9"/>
      <c r="I9"/>
      <c r="J9"/>
      <c r="K9"/>
      <c r="L9"/>
    </row>
    <row r="10" spans="1:12" x14ac:dyDescent="0.25">
      <c r="A10" s="27" t="s">
        <v>85</v>
      </c>
      <c r="B10" s="29" t="s">
        <v>84</v>
      </c>
      <c r="C10" s="29"/>
      <c r="D10" s="29">
        <v>5</v>
      </c>
      <c r="E10" s="29">
        <v>4</v>
      </c>
      <c r="F10" s="29">
        <v>3.5</v>
      </c>
      <c r="G10" s="29">
        <v>9</v>
      </c>
      <c r="H10"/>
      <c r="I10"/>
      <c r="J10"/>
      <c r="K10"/>
      <c r="L10"/>
    </row>
    <row r="11" spans="1:12" x14ac:dyDescent="0.25">
      <c r="A11" s="27" t="s">
        <v>83</v>
      </c>
      <c r="B11" s="29" t="s">
        <v>47</v>
      </c>
      <c r="C11" s="29"/>
      <c r="D11" s="29">
        <v>1.2</v>
      </c>
      <c r="E11" s="29">
        <v>0.8</v>
      </c>
      <c r="F11" s="29">
        <v>1.4</v>
      </c>
      <c r="G11" s="29">
        <v>1</v>
      </c>
      <c r="H11"/>
      <c r="I11"/>
      <c r="J11"/>
      <c r="K11"/>
      <c r="L11"/>
    </row>
    <row r="12" spans="1:12" x14ac:dyDescent="0.25">
      <c r="A12" s="27" t="s">
        <v>69</v>
      </c>
      <c r="B12" s="29" t="s">
        <v>82</v>
      </c>
      <c r="C12" s="29"/>
      <c r="D12" s="29">
        <v>10.5</v>
      </c>
      <c r="E12" s="29">
        <v>8</v>
      </c>
      <c r="F12" s="29">
        <v>10.5</v>
      </c>
      <c r="G12" s="29">
        <v>7.5</v>
      </c>
      <c r="H12"/>
      <c r="I12"/>
      <c r="J12"/>
      <c r="K12"/>
      <c r="L12"/>
    </row>
    <row r="13" spans="1:12" x14ac:dyDescent="0.25">
      <c r="A13" s="14"/>
      <c r="B13" s="29"/>
      <c r="C13" s="29"/>
      <c r="D13" s="14"/>
      <c r="E13" s="14"/>
      <c r="F13" s="14"/>
      <c r="G13" s="14"/>
      <c r="H13"/>
      <c r="I13"/>
      <c r="J13"/>
      <c r="K13"/>
      <c r="L13"/>
    </row>
    <row r="14" spans="1:12" x14ac:dyDescent="0.25">
      <c r="A14" s="55" t="s">
        <v>80</v>
      </c>
      <c r="B14" s="55"/>
      <c r="C14" s="55"/>
      <c r="D14" s="56"/>
      <c r="E14" s="14"/>
      <c r="F14" s="14"/>
      <c r="G14" s="14"/>
      <c r="H14" s="57"/>
      <c r="I14" s="57"/>
      <c r="J14" s="57"/>
      <c r="K14" s="57"/>
      <c r="L14" s="57"/>
    </row>
    <row r="15" spans="1:12" x14ac:dyDescent="0.25">
      <c r="A15" s="27" t="s">
        <v>74</v>
      </c>
      <c r="B15" s="15">
        <v>15000</v>
      </c>
      <c r="C15" s="58" t="s">
        <v>73</v>
      </c>
      <c r="D15" s="25"/>
      <c r="E15" s="20"/>
      <c r="F15" s="14"/>
      <c r="G15" s="14"/>
      <c r="H15" s="59"/>
      <c r="I15" s="59"/>
      <c r="J15" s="59"/>
      <c r="K15" s="59"/>
      <c r="L15" s="59"/>
    </row>
    <row r="16" spans="1:12" ht="59.25" customHeight="1" x14ac:dyDescent="0.25">
      <c r="A16" s="27" t="s">
        <v>70</v>
      </c>
      <c r="B16" s="15">
        <v>10000</v>
      </c>
      <c r="C16" s="58" t="s">
        <v>22</v>
      </c>
      <c r="D16" s="31"/>
      <c r="E16" s="20" t="s">
        <v>79</v>
      </c>
      <c r="F16" s="14"/>
      <c r="G16" s="14">
        <v>70</v>
      </c>
      <c r="H16" s="59"/>
      <c r="I16" s="59"/>
      <c r="J16" s="59"/>
      <c r="K16" s="59"/>
      <c r="L16" s="59"/>
    </row>
    <row r="17" spans="1:12" x14ac:dyDescent="0.25">
      <c r="A17" s="27" t="s">
        <v>69</v>
      </c>
      <c r="B17" s="15">
        <v>45000</v>
      </c>
      <c r="C17" s="58" t="s">
        <v>68</v>
      </c>
      <c r="D17" s="36"/>
      <c r="E17" s="20"/>
      <c r="F17" s="14"/>
      <c r="G17" s="15" t="s">
        <v>78</v>
      </c>
      <c r="H17" s="59"/>
      <c r="I17" s="59"/>
      <c r="J17" s="59"/>
      <c r="K17" s="59"/>
      <c r="L17" s="59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 s="60" t="s">
        <v>97</v>
      </c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 s="60" t="s">
        <v>98</v>
      </c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 s="46" t="s">
        <v>27</v>
      </c>
      <c r="B21" s="46" t="s">
        <v>93</v>
      </c>
      <c r="C21" s="46"/>
      <c r="D21" s="46" t="s">
        <v>55</v>
      </c>
      <c r="E21" s="46" t="s">
        <v>56</v>
      </c>
      <c r="F21" s="46" t="s">
        <v>53</v>
      </c>
      <c r="G21" s="46" t="s">
        <v>66</v>
      </c>
    </row>
    <row r="22" spans="1:12" x14ac:dyDescent="0.25">
      <c r="A22" s="48" t="s">
        <v>92</v>
      </c>
      <c r="B22" s="46" t="s">
        <v>40</v>
      </c>
      <c r="C22" s="46"/>
      <c r="D22" s="45">
        <v>49000</v>
      </c>
      <c r="E22" s="45">
        <v>56000</v>
      </c>
      <c r="F22" s="45">
        <v>38000</v>
      </c>
      <c r="G22" s="45">
        <v>56000</v>
      </c>
    </row>
    <row r="23" spans="1:12" x14ac:dyDescent="0.25">
      <c r="A23" s="48" t="s">
        <v>49</v>
      </c>
      <c r="B23" s="46" t="s">
        <v>40</v>
      </c>
      <c r="C23" s="46"/>
      <c r="D23" s="45">
        <v>15000</v>
      </c>
      <c r="E23" s="45">
        <v>22000</v>
      </c>
      <c r="F23" s="45">
        <v>17000</v>
      </c>
      <c r="G23" s="45">
        <v>20000</v>
      </c>
      <c r="H23" s="12" t="s">
        <v>91</v>
      </c>
      <c r="I23" s="12"/>
      <c r="J23" s="12"/>
    </row>
    <row r="24" spans="1:12" x14ac:dyDescent="0.25">
      <c r="A24" s="48" t="s">
        <v>90</v>
      </c>
      <c r="B24" s="46" t="s">
        <v>2</v>
      </c>
      <c r="C24" s="46"/>
      <c r="D24" s="45">
        <v>0</v>
      </c>
      <c r="E24" s="45">
        <v>100</v>
      </c>
      <c r="F24" s="45">
        <v>250</v>
      </c>
      <c r="G24" s="45">
        <v>0</v>
      </c>
      <c r="H24" s="9" t="s">
        <v>89</v>
      </c>
      <c r="I24" s="9" t="s">
        <v>1</v>
      </c>
      <c r="J24" s="9" t="s">
        <v>88</v>
      </c>
    </row>
    <row r="25" spans="1:12" x14ac:dyDescent="0.25">
      <c r="A25" s="48" t="s">
        <v>87</v>
      </c>
      <c r="B25" s="46" t="s">
        <v>2</v>
      </c>
      <c r="C25" s="46"/>
      <c r="D25" s="45">
        <v>1500</v>
      </c>
      <c r="E25" s="45">
        <v>1000</v>
      </c>
      <c r="F25" s="45">
        <v>1200</v>
      </c>
      <c r="G25" s="45">
        <v>1100</v>
      </c>
      <c r="H25" s="9" t="s">
        <v>55</v>
      </c>
      <c r="I25" s="9">
        <v>1500</v>
      </c>
      <c r="J25" s="18">
        <f>I25*D42/1000000</f>
        <v>51</v>
      </c>
    </row>
    <row r="26" spans="1:12" x14ac:dyDescent="0.25">
      <c r="A26" s="48" t="s">
        <v>86</v>
      </c>
      <c r="B26" s="46"/>
      <c r="C26" s="46"/>
      <c r="D26" s="28"/>
      <c r="E26" s="28"/>
      <c r="F26" s="28"/>
      <c r="G26" s="28"/>
      <c r="H26" s="9" t="s">
        <v>56</v>
      </c>
      <c r="I26" s="9">
        <v>1000</v>
      </c>
      <c r="J26" s="18">
        <f>I26*E42/1000000</f>
        <v>34</v>
      </c>
    </row>
    <row r="27" spans="1:12" x14ac:dyDescent="0.25">
      <c r="A27" s="39" t="s">
        <v>85</v>
      </c>
      <c r="B27" s="46" t="s">
        <v>84</v>
      </c>
      <c r="C27" s="46"/>
      <c r="D27" s="45">
        <v>5</v>
      </c>
      <c r="E27" s="45">
        <v>4</v>
      </c>
      <c r="F27" s="45">
        <v>3.5</v>
      </c>
      <c r="G27" s="45">
        <v>9</v>
      </c>
      <c r="H27" s="9" t="s">
        <v>53</v>
      </c>
      <c r="I27" s="9">
        <v>1000</v>
      </c>
      <c r="J27" s="18">
        <f>I27*F42/1000000</f>
        <v>21</v>
      </c>
    </row>
    <row r="28" spans="1:12" x14ac:dyDescent="0.25">
      <c r="A28" s="39" t="s">
        <v>83</v>
      </c>
      <c r="B28" s="46" t="s">
        <v>47</v>
      </c>
      <c r="C28" s="46"/>
      <c r="D28" s="45">
        <v>1.2</v>
      </c>
      <c r="E28" s="45">
        <v>0.8</v>
      </c>
      <c r="F28" s="45">
        <v>1.4</v>
      </c>
      <c r="G28" s="45">
        <v>1</v>
      </c>
      <c r="H28" s="9" t="s">
        <v>66</v>
      </c>
      <c r="I28" s="9">
        <v>0</v>
      </c>
      <c r="J28" s="47">
        <v>0</v>
      </c>
    </row>
    <row r="29" spans="1:12" x14ac:dyDescent="0.25">
      <c r="A29" s="39" t="s">
        <v>69</v>
      </c>
      <c r="B29" s="46" t="s">
        <v>82</v>
      </c>
      <c r="C29" s="46"/>
      <c r="D29" s="45">
        <v>10.5</v>
      </c>
      <c r="E29" s="45">
        <v>8</v>
      </c>
      <c r="F29" s="45">
        <v>10.5</v>
      </c>
      <c r="G29" s="45">
        <v>7.5</v>
      </c>
      <c r="J29" s="11">
        <f>SUM(J25:J28)</f>
        <v>106</v>
      </c>
      <c r="L29" s="9" t="s">
        <v>81</v>
      </c>
    </row>
    <row r="30" spans="1:12" x14ac:dyDescent="0.25">
      <c r="A30" s="19"/>
      <c r="B30" s="28"/>
      <c r="C30" s="28"/>
      <c r="D30" s="19"/>
      <c r="E30" s="19"/>
      <c r="F30" s="19"/>
      <c r="G30" s="19"/>
      <c r="L30" s="9">
        <f>J29-G33</f>
        <v>36</v>
      </c>
    </row>
    <row r="31" spans="1:12" x14ac:dyDescent="0.25">
      <c r="A31" s="44" t="s">
        <v>80</v>
      </c>
      <c r="B31" s="44"/>
      <c r="C31" s="44"/>
      <c r="D31" s="43"/>
      <c r="E31" s="19"/>
      <c r="F31" s="19"/>
      <c r="G31" s="19"/>
    </row>
    <row r="32" spans="1:12" x14ac:dyDescent="0.25">
      <c r="A32" s="39" t="s">
        <v>74</v>
      </c>
      <c r="B32" s="38">
        <v>15000</v>
      </c>
      <c r="C32" s="37" t="s">
        <v>73</v>
      </c>
      <c r="D32" s="25"/>
      <c r="E32" s="35"/>
      <c r="F32" s="19"/>
      <c r="G32" s="19"/>
    </row>
    <row r="33" spans="1:12" x14ac:dyDescent="0.25">
      <c r="A33" s="39" t="s">
        <v>70</v>
      </c>
      <c r="B33" s="38">
        <v>10000</v>
      </c>
      <c r="C33" s="37" t="s">
        <v>22</v>
      </c>
      <c r="D33" s="31"/>
      <c r="E33" s="42" t="s">
        <v>79</v>
      </c>
      <c r="F33" s="41"/>
      <c r="G33" s="40">
        <v>70</v>
      </c>
    </row>
    <row r="34" spans="1:12" x14ac:dyDescent="0.25">
      <c r="A34" s="39" t="s">
        <v>69</v>
      </c>
      <c r="B34" s="38">
        <v>45000</v>
      </c>
      <c r="C34" s="37" t="s">
        <v>68</v>
      </c>
      <c r="D34" s="36"/>
      <c r="E34" s="35"/>
      <c r="F34" s="19"/>
      <c r="G34" s="34" t="s">
        <v>78</v>
      </c>
    </row>
    <row r="35" spans="1:12" x14ac:dyDescent="0.25">
      <c r="A35" s="33" t="s">
        <v>77</v>
      </c>
      <c r="B35" s="33"/>
      <c r="C35" s="33"/>
      <c r="D35" s="33"/>
      <c r="E35" s="33"/>
      <c r="F35" s="33"/>
      <c r="G35" s="19"/>
      <c r="H35" s="9" t="s">
        <v>76</v>
      </c>
      <c r="J35" s="9" t="s">
        <v>75</v>
      </c>
    </row>
    <row r="36" spans="1:12" x14ac:dyDescent="0.25">
      <c r="A36" s="27" t="s">
        <v>74</v>
      </c>
      <c r="B36" s="15">
        <f>SUMPRODUCT(D27:G27,$D$25:$G$25)</f>
        <v>25600</v>
      </c>
      <c r="C36" s="14" t="s">
        <v>73</v>
      </c>
      <c r="D36" s="14">
        <f>D$25*D27</f>
        <v>7500</v>
      </c>
      <c r="E36" s="14">
        <f>E$25*E27</f>
        <v>4000</v>
      </c>
      <c r="F36" s="14">
        <f>F$25*F27</f>
        <v>4200</v>
      </c>
      <c r="G36" s="14">
        <f>G$25*G27</f>
        <v>9900</v>
      </c>
      <c r="H36" s="31">
        <f>SUM(D36:G36)</f>
        <v>25600</v>
      </c>
      <c r="I36" s="30" t="s">
        <v>72</v>
      </c>
      <c r="J36" s="9">
        <f>B32</f>
        <v>15000</v>
      </c>
      <c r="K36" s="32" t="s">
        <v>71</v>
      </c>
      <c r="L36" s="32"/>
    </row>
    <row r="37" spans="1:12" x14ac:dyDescent="0.25">
      <c r="A37" s="27" t="s">
        <v>70</v>
      </c>
      <c r="B37" s="15">
        <f>SUMPRODUCT(D28:G28,$D$25:$G$25)</f>
        <v>5380</v>
      </c>
      <c r="C37" s="14" t="s">
        <v>22</v>
      </c>
      <c r="D37" s="14">
        <f>D$25*D28</f>
        <v>1800</v>
      </c>
      <c r="E37" s="14">
        <f>E$25*E28</f>
        <v>800</v>
      </c>
      <c r="F37" s="14">
        <f>F$25*F28</f>
        <v>1680</v>
      </c>
      <c r="G37" s="14">
        <f>G$25*G28</f>
        <v>1100</v>
      </c>
      <c r="H37" s="31">
        <f>SUM(D37:G37)</f>
        <v>5380</v>
      </c>
      <c r="I37" s="30" t="s">
        <v>67</v>
      </c>
      <c r="J37" s="9">
        <f>B33</f>
        <v>10000</v>
      </c>
      <c r="K37" s="9" t="s">
        <v>36</v>
      </c>
    </row>
    <row r="38" spans="1:12" x14ac:dyDescent="0.25">
      <c r="A38" s="27" t="s">
        <v>69</v>
      </c>
      <c r="B38" s="15">
        <f>SUMPRODUCT(D29:G29,$D$25:$G$25)</f>
        <v>44600</v>
      </c>
      <c r="C38" s="14" t="s">
        <v>68</v>
      </c>
      <c r="D38" s="14">
        <f>D$25*D29</f>
        <v>15750</v>
      </c>
      <c r="E38" s="14">
        <f>E$25*E29</f>
        <v>8000</v>
      </c>
      <c r="F38" s="14">
        <f>F$25*F29</f>
        <v>12600</v>
      </c>
      <c r="G38" s="14">
        <f>G$25*G29</f>
        <v>8250</v>
      </c>
      <c r="H38" s="31">
        <f>SUM(D38:G38)</f>
        <v>44600</v>
      </c>
      <c r="I38" s="30" t="s">
        <v>67</v>
      </c>
      <c r="J38" s="9">
        <f>B34</f>
        <v>45000</v>
      </c>
      <c r="K38" s="9" t="s">
        <v>36</v>
      </c>
    </row>
    <row r="39" spans="1:12" x14ac:dyDescent="0.25">
      <c r="A39" s="27"/>
      <c r="B39" s="15"/>
      <c r="C39" s="15"/>
      <c r="D39" s="29" t="s">
        <v>55</v>
      </c>
      <c r="E39" s="29" t="s">
        <v>56</v>
      </c>
      <c r="F39" s="29" t="s">
        <v>53</v>
      </c>
      <c r="G39" s="28" t="s">
        <v>66</v>
      </c>
    </row>
    <row r="40" spans="1:12" x14ac:dyDescent="0.25">
      <c r="A40" s="27" t="s">
        <v>65</v>
      </c>
      <c r="B40" s="14"/>
      <c r="C40" s="14"/>
      <c r="D40" s="14">
        <v>2</v>
      </c>
      <c r="E40" s="14">
        <v>1</v>
      </c>
      <c r="F40" s="14">
        <v>3</v>
      </c>
      <c r="G40" s="19">
        <v>4</v>
      </c>
    </row>
    <row r="41" spans="1:12" x14ac:dyDescent="0.25">
      <c r="A41" s="27" t="s">
        <v>64</v>
      </c>
      <c r="B41" s="14"/>
      <c r="C41" s="14"/>
      <c r="D41" s="14">
        <f>D42/D27</f>
        <v>6800</v>
      </c>
      <c r="E41" s="14">
        <f>E42/E27</f>
        <v>8500</v>
      </c>
      <c r="F41" s="14">
        <f>F42/F27</f>
        <v>6000</v>
      </c>
      <c r="G41" s="19">
        <f>G42/G27</f>
        <v>4000</v>
      </c>
    </row>
    <row r="42" spans="1:12" x14ac:dyDescent="0.25">
      <c r="A42" s="26" t="s">
        <v>0</v>
      </c>
      <c r="B42" s="25"/>
      <c r="C42" s="25"/>
      <c r="D42" s="25">
        <f>D22-D23</f>
        <v>34000</v>
      </c>
      <c r="E42" s="25">
        <f>E22-E23</f>
        <v>34000</v>
      </c>
      <c r="F42" s="25">
        <f>F22-F23</f>
        <v>21000</v>
      </c>
      <c r="G42" s="24">
        <f>G22-G23</f>
        <v>36000</v>
      </c>
    </row>
    <row r="43" spans="1:12" s="10" customFormat="1" x14ac:dyDescent="0.25">
      <c r="A43" s="23"/>
      <c r="B43" s="22"/>
      <c r="C43" s="22"/>
      <c r="D43" s="22"/>
      <c r="E43" s="22"/>
      <c r="F43" s="22"/>
      <c r="G43" s="21"/>
      <c r="H43" s="9"/>
      <c r="I43" s="9"/>
      <c r="J43" s="9"/>
      <c r="K43" s="9"/>
      <c r="L43" s="9"/>
    </row>
    <row r="44" spans="1:12" x14ac:dyDescent="0.25">
      <c r="A44" s="14" t="s">
        <v>63</v>
      </c>
      <c r="B44" s="14" t="s">
        <v>62</v>
      </c>
      <c r="C44" s="14" t="s">
        <v>1</v>
      </c>
      <c r="D44" s="14" t="s">
        <v>61</v>
      </c>
      <c r="E44" s="14" t="s">
        <v>60</v>
      </c>
      <c r="F44" s="20" t="s">
        <v>59</v>
      </c>
      <c r="G44" s="19"/>
      <c r="H44" s="19"/>
    </row>
    <row r="45" spans="1:12" x14ac:dyDescent="0.25">
      <c r="A45" s="17" t="s">
        <v>58</v>
      </c>
      <c r="B45" s="14" t="s">
        <v>56</v>
      </c>
      <c r="C45" s="14">
        <v>100</v>
      </c>
      <c r="D45" s="14">
        <v>4</v>
      </c>
      <c r="E45" s="14">
        <f>C45*D45</f>
        <v>400</v>
      </c>
      <c r="F45" s="14">
        <f>E45</f>
        <v>400</v>
      </c>
      <c r="G45" s="18"/>
    </row>
    <row r="46" spans="1:12" x14ac:dyDescent="0.25">
      <c r="A46" s="15" t="s">
        <v>57</v>
      </c>
      <c r="B46" s="14" t="s">
        <v>53</v>
      </c>
      <c r="C46" s="14">
        <v>250</v>
      </c>
      <c r="D46" s="14">
        <v>3.5</v>
      </c>
      <c r="E46" s="14">
        <f>C46*D46</f>
        <v>875</v>
      </c>
      <c r="F46" s="14">
        <f>F45+E46</f>
        <v>1275</v>
      </c>
    </row>
    <row r="47" spans="1:12" x14ac:dyDescent="0.25">
      <c r="A47" s="17">
        <v>1</v>
      </c>
      <c r="B47" s="14" t="s">
        <v>56</v>
      </c>
      <c r="C47" s="14">
        <v>900</v>
      </c>
      <c r="D47" s="14">
        <v>4</v>
      </c>
      <c r="E47" s="14">
        <f>C47*D47</f>
        <v>3600</v>
      </c>
      <c r="F47" s="14">
        <f>F46+E47</f>
        <v>4875</v>
      </c>
    </row>
    <row r="48" spans="1:12" x14ac:dyDescent="0.25">
      <c r="A48" s="17">
        <v>2</v>
      </c>
      <c r="B48" s="14" t="s">
        <v>55</v>
      </c>
      <c r="C48" s="14">
        <v>1500</v>
      </c>
      <c r="D48" s="14">
        <v>5</v>
      </c>
      <c r="E48" s="14">
        <f>C48*D48</f>
        <v>7500</v>
      </c>
      <c r="F48" s="14">
        <f>F47+E48</f>
        <v>12375</v>
      </c>
    </row>
    <row r="49" spans="1:12" x14ac:dyDescent="0.25">
      <c r="A49" s="15">
        <v>3</v>
      </c>
      <c r="B49" s="14" t="s">
        <v>53</v>
      </c>
      <c r="C49" s="16">
        <v>950</v>
      </c>
      <c r="D49" s="14">
        <v>3.5</v>
      </c>
      <c r="E49" s="16">
        <f>C49*D49</f>
        <v>3325</v>
      </c>
      <c r="F49" s="16">
        <f>F48+E49</f>
        <v>15700</v>
      </c>
      <c r="G49" s="9" t="s">
        <v>54</v>
      </c>
    </row>
    <row r="50" spans="1:12" x14ac:dyDescent="0.25">
      <c r="A50" s="15"/>
      <c r="B50" s="14" t="s">
        <v>53</v>
      </c>
      <c r="C50" s="14">
        <f>E50/D50</f>
        <v>750</v>
      </c>
      <c r="D50" s="14">
        <v>3.5</v>
      </c>
      <c r="E50" s="14">
        <f>15000-F48</f>
        <v>2625</v>
      </c>
      <c r="F50" s="14">
        <v>15000</v>
      </c>
      <c r="G50" s="9" t="s">
        <v>52</v>
      </c>
    </row>
    <row r="51" spans="1:12" x14ac:dyDescent="0.25">
      <c r="A51" s="13"/>
      <c r="B51" s="12"/>
      <c r="C51" s="12"/>
      <c r="D51" s="12"/>
      <c r="E51" s="12"/>
      <c r="F51" s="12"/>
    </row>
    <row r="52" spans="1:12" x14ac:dyDescent="0.25">
      <c r="A52" s="12"/>
      <c r="B52" s="12"/>
      <c r="C52" s="12"/>
    </row>
    <row r="58" spans="1:12" x14ac:dyDescent="0.25">
      <c r="K58" s="11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</sheetData>
  <mergeCells count="5">
    <mergeCell ref="A31:D31"/>
    <mergeCell ref="A35:F35"/>
    <mergeCell ref="K36:L36"/>
    <mergeCell ref="A14:D14"/>
    <mergeCell ref="A1:L2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2.13.</vt:lpstr>
      <vt:lpstr>2.feladat</vt:lpstr>
    </vt:vector>
  </TitlesOfParts>
  <Company>SZVI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BogathA</dc:creator>
  <cp:lastModifiedBy>oktato</cp:lastModifiedBy>
  <cp:lastPrinted>2017-04-05T05:23:55Z</cp:lastPrinted>
  <dcterms:created xsi:type="dcterms:W3CDTF">2012-04-16T10:09:21Z</dcterms:created>
  <dcterms:modified xsi:type="dcterms:W3CDTF">2019-09-11T13:05:11Z</dcterms:modified>
</cp:coreProperties>
</file>