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Controlling\"/>
    </mc:Choice>
  </mc:AlternateContent>
  <bookViews>
    <workbookView xWindow="0" yWindow="0" windowWidth="20490" windowHeight="7695" tabRatio="885" activeTab="1"/>
  </bookViews>
  <sheets>
    <sheet name="ÁKFN gyakorló" sheetId="6" r:id="rId1"/>
    <sheet name="Többszintű direkt costing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7" l="1"/>
  <c r="F19" i="7"/>
  <c r="G19" i="7"/>
  <c r="H19" i="7"/>
  <c r="I19" i="7"/>
  <c r="J19" i="7"/>
  <c r="E20" i="7"/>
  <c r="E21" i="7" s="1"/>
  <c r="E23" i="7" s="1"/>
  <c r="E25" i="7" s="1"/>
  <c r="F20" i="7"/>
  <c r="F21" i="7" s="1"/>
  <c r="F23" i="7" s="1"/>
  <c r="F25" i="7" s="1"/>
  <c r="G20" i="7"/>
  <c r="H20" i="7"/>
  <c r="I20" i="7"/>
  <c r="I21" i="7" s="1"/>
  <c r="I23" i="7" s="1"/>
  <c r="J20" i="7"/>
  <c r="J21" i="7" s="1"/>
  <c r="J23" i="7" s="1"/>
  <c r="G21" i="7"/>
  <c r="H21" i="7"/>
  <c r="E22" i="7"/>
  <c r="F22" i="7"/>
  <c r="G22" i="7"/>
  <c r="H22" i="7"/>
  <c r="I22" i="7"/>
  <c r="J22" i="7"/>
  <c r="G23" i="7"/>
  <c r="H23" i="7"/>
  <c r="F24" i="7"/>
  <c r="H24" i="7"/>
  <c r="E26" i="7"/>
  <c r="H26" i="7"/>
  <c r="E28" i="7"/>
  <c r="F65" i="6"/>
  <c r="F66" i="6" s="1"/>
  <c r="F67" i="6" s="1"/>
  <c r="B63" i="6"/>
  <c r="F59" i="6"/>
  <c r="B59" i="6"/>
  <c r="B60" i="6" s="1"/>
  <c r="I58" i="6" s="1"/>
  <c r="I59" i="6" s="1"/>
  <c r="I60" i="6" s="1"/>
  <c r="B58" i="6"/>
  <c r="B64" i="6" s="1"/>
  <c r="I31" i="6"/>
  <c r="L31" i="6" s="1"/>
  <c r="L29" i="6"/>
  <c r="I29" i="6"/>
  <c r="B23" i="6"/>
  <c r="E24" i="6" s="1"/>
  <c r="D19" i="6"/>
  <c r="F19" i="6" s="1"/>
  <c r="B19" i="6"/>
  <c r="F18" i="6"/>
  <c r="E18" i="6"/>
  <c r="G18" i="6" s="1"/>
  <c r="D18" i="6"/>
  <c r="B18" i="6"/>
  <c r="F17" i="6"/>
  <c r="D17" i="6"/>
  <c r="B17" i="6"/>
  <c r="E17" i="6" s="1"/>
  <c r="G17" i="6" s="1"/>
  <c r="D16" i="6"/>
  <c r="F16" i="6" s="1"/>
  <c r="B16" i="6"/>
  <c r="E16" i="6" s="1"/>
  <c r="G16" i="6" s="1"/>
  <c r="D15" i="6"/>
  <c r="F15" i="6" s="1"/>
  <c r="B15" i="6"/>
  <c r="F14" i="6"/>
  <c r="E14" i="6"/>
  <c r="G14" i="6" s="1"/>
  <c r="D14" i="6"/>
  <c r="B14" i="6"/>
  <c r="G5" i="6"/>
  <c r="B4" i="6"/>
  <c r="E27" i="7" l="1"/>
  <c r="H25" i="7"/>
  <c r="H27" i="7" s="1"/>
  <c r="E15" i="6"/>
  <c r="G15" i="6" s="1"/>
  <c r="E19" i="6"/>
  <c r="G19" i="6" s="1"/>
  <c r="B24" i="6"/>
  <c r="E29" i="7" l="1"/>
</calcChain>
</file>

<file path=xl/sharedStrings.xml><?xml version="1.0" encoding="utf-8"?>
<sst xmlns="http://schemas.openxmlformats.org/spreadsheetml/2006/main" count="128" uniqueCount="91">
  <si>
    <t>A</t>
  </si>
  <si>
    <t>Árbevétel</t>
  </si>
  <si>
    <t>Fedezet</t>
  </si>
  <si>
    <t>Megnevezés</t>
  </si>
  <si>
    <t>Ft/db</t>
  </si>
  <si>
    <t>db</t>
  </si>
  <si>
    <t>Q</t>
  </si>
  <si>
    <t>1. Egészítse ki a hiányzó adatokat!</t>
  </si>
  <si>
    <t>Mennyiség</t>
  </si>
  <si>
    <t>Fix költség</t>
  </si>
  <si>
    <t>Változó költség</t>
  </si>
  <si>
    <t>Összes Költség</t>
  </si>
  <si>
    <t>Nyereség</t>
  </si>
  <si>
    <t>Hol a fedezeti pont?</t>
  </si>
  <si>
    <t>p</t>
  </si>
  <si>
    <t>Fp --&gt;</t>
  </si>
  <si>
    <t>Kve</t>
  </si>
  <si>
    <t xml:space="preserve">2. </t>
  </si>
  <si>
    <t>am=</t>
  </si>
  <si>
    <t>kve</t>
  </si>
  <si>
    <t>fe</t>
  </si>
  <si>
    <t>fp-&gt; Qkrit=</t>
  </si>
  <si>
    <t>lp-&gt; Qlp</t>
  </si>
  <si>
    <t xml:space="preserve">     </t>
  </si>
  <si>
    <t>3. feladat</t>
  </si>
  <si>
    <t>Számítsa ki a fedezeti pontot és a likviditási pontot!</t>
  </si>
  <si>
    <t>Ár eft/db</t>
  </si>
  <si>
    <t>Kve eft/db</t>
  </si>
  <si>
    <t>Fe eft/db</t>
  </si>
  <si>
    <t>Kf eft</t>
  </si>
  <si>
    <t>Am eft</t>
  </si>
  <si>
    <t>FP Ny=0=Á-K ; F=Kf</t>
  </si>
  <si>
    <t>Q*(32-28)-128000=0</t>
  </si>
  <si>
    <t>Qkrit=Kf/Fe</t>
  </si>
  <si>
    <t>F=32000*4=</t>
  </si>
  <si>
    <t>LP 0=Á-(K-Am)</t>
  </si>
  <si>
    <t>0=Q*(32-28)-(128-36)</t>
  </si>
  <si>
    <t>Qlp=(Kf-Am)/Fe</t>
  </si>
  <si>
    <t>F=23000*4=</t>
  </si>
  <si>
    <t>6.</t>
  </si>
  <si>
    <t>Példa:</t>
  </si>
  <si>
    <t xml:space="preserve">A vállalat egyféle terméket állít elő. </t>
  </si>
  <si>
    <t xml:space="preserve">500 ezer db előállítását tervezik. </t>
  </si>
  <si>
    <t>A termék egységára: 120 Ft/db</t>
  </si>
  <si>
    <t>Fix költségek összege: 20 millió Ft</t>
  </si>
  <si>
    <t>Az egy termékre jutó teljes egységköltség 70 Ft/db.</t>
  </si>
  <si>
    <t xml:space="preserve">Feladatok: </t>
  </si>
  <si>
    <t>1. Számítsák ki a fedezeti összeget és nyereséget.</t>
  </si>
  <si>
    <r>
      <t>2.</t>
    </r>
    <r>
      <rPr>
        <b/>
        <sz val="12"/>
        <rFont val="Times New Roman"/>
        <family val="1"/>
        <charset val="238"/>
      </rPr>
      <t>Határozzák meg a fedezeti ponthoz tartozó volument és a likviditási pontot, ha az amortizáció 14 millió ft!</t>
    </r>
  </si>
  <si>
    <t>3. Eredeti feltételek mellett milyen volumenre lenne szükség 9 millió Ft nyereség eléréséhez?</t>
  </si>
  <si>
    <t>4. Ha 9 MFt nyereséget szeretnék elérni, de csak 500.000 db-ot tudok gyártani, akkor milyen ár elérésére lenne szükség?</t>
  </si>
  <si>
    <t>ft/db</t>
  </si>
  <si>
    <t>Vált.ktg</t>
  </si>
  <si>
    <t>Fix ktg</t>
  </si>
  <si>
    <t xml:space="preserve">ft </t>
  </si>
  <si>
    <t>Amortizáció</t>
  </si>
  <si>
    <t>Fe</t>
  </si>
  <si>
    <t>Ny</t>
  </si>
  <si>
    <t>∆ny</t>
  </si>
  <si>
    <t xml:space="preserve">F </t>
  </si>
  <si>
    <r>
      <rPr>
        <sz val="11"/>
        <color theme="1"/>
        <rFont val="Calibri"/>
        <family val="2"/>
        <charset val="238"/>
      </rPr>
      <t>∆</t>
    </r>
    <r>
      <rPr>
        <sz val="11"/>
        <color theme="1"/>
        <rFont val="Calibri"/>
        <family val="2"/>
        <scheme val="minor"/>
      </rPr>
      <t>Q</t>
    </r>
  </si>
  <si>
    <t>fp</t>
  </si>
  <si>
    <t>lp</t>
  </si>
  <si>
    <t>F</t>
  </si>
  <si>
    <t>Vállalati eredmény, eFt</t>
  </si>
  <si>
    <t>Vállalati fix költség, eFt</t>
  </si>
  <si>
    <t>Fedezet IV., eFt</t>
  </si>
  <si>
    <t>Üzemi fix költség, eFt</t>
  </si>
  <si>
    <t>Fedezet III., eFt</t>
  </si>
  <si>
    <t>Termékcsoport szerinti fix költség, eFt</t>
  </si>
  <si>
    <t>Fedezet II., eFt</t>
  </si>
  <si>
    <t>Termék szintű fix költség, eFt</t>
  </si>
  <si>
    <t>Fedezet I., eFt</t>
  </si>
  <si>
    <t>Változó költségek, eFt</t>
  </si>
  <si>
    <t>Nettó árbevétel, eFt</t>
  </si>
  <si>
    <t>C3</t>
  </si>
  <si>
    <t>C2</t>
  </si>
  <si>
    <t>C1</t>
  </si>
  <si>
    <t>B2</t>
  </si>
  <si>
    <t>B1</t>
  </si>
  <si>
    <t>Számszerűsítse a vállalati szintű eredményt!</t>
  </si>
  <si>
    <t>eFt</t>
  </si>
  <si>
    <t>Vállalati szintű fix költség</t>
  </si>
  <si>
    <t>Üzemi szintű fix költség</t>
  </si>
  <si>
    <t>Termékcsoport szerinti fix költség</t>
  </si>
  <si>
    <t>Termék szintű fix költség</t>
  </si>
  <si>
    <t>Ft/bd</t>
  </si>
  <si>
    <t>Értékesítési volumen</t>
  </si>
  <si>
    <t>Nettó ár</t>
  </si>
  <si>
    <t>M.e.</t>
  </si>
  <si>
    <t>Egy vállalkozás alábbi információit ismeri: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</si>
</sst>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u/>
      <sz val="12"/>
      <name val="Times New Roman"/>
      <family val="1"/>
      <charset val="238"/>
    </font>
    <font>
      <b/>
      <sz val="12"/>
      <name val="Times New Roman"/>
      <family val="1"/>
      <charset val="238"/>
    </font>
    <font>
      <sz val="12"/>
      <name val="Times New Roman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37">
    <xf numFmtId="0" fontId="0" fillId="0" borderId="0" xfId="0"/>
    <xf numFmtId="0" fontId="1" fillId="0" borderId="0" xfId="1"/>
    <xf numFmtId="0" fontId="1" fillId="3" borderId="1" xfId="1" applyFill="1" applyBorder="1"/>
    <xf numFmtId="0" fontId="1" fillId="0" borderId="1" xfId="1" applyBorder="1" applyAlignment="1">
      <alignment wrapText="1"/>
    </xf>
    <xf numFmtId="0" fontId="1" fillId="0" borderId="1" xfId="1" applyBorder="1"/>
    <xf numFmtId="0" fontId="1" fillId="2" borderId="1" xfId="1" applyFill="1" applyBorder="1"/>
    <xf numFmtId="0" fontId="1" fillId="3" borderId="0" xfId="1" applyFill="1"/>
    <xf numFmtId="0" fontId="4" fillId="0" borderId="0" xfId="1" applyFont="1" applyFill="1" applyBorder="1"/>
    <xf numFmtId="0" fontId="4" fillId="0" borderId="0" xfId="1" applyFont="1"/>
    <xf numFmtId="0" fontId="1" fillId="0" borderId="0" xfId="1" applyAlignment="1">
      <alignment horizontal="right"/>
    </xf>
    <xf numFmtId="0" fontId="5" fillId="0" borderId="0" xfId="2" applyAlignment="1">
      <alignment horizontal="left" vertical="center" wrapText="1"/>
    </xf>
    <xf numFmtId="0" fontId="6" fillId="0" borderId="0" xfId="1" applyFont="1" applyAlignment="1">
      <alignment horizontal="left" vertical="center" indent="4" readingOrder="1"/>
    </xf>
    <xf numFmtId="0" fontId="7" fillId="0" borderId="0" xfId="1" applyFont="1" applyAlignment="1">
      <alignment horizontal="left" vertical="center" indent="4" readingOrder="1"/>
    </xf>
    <xf numFmtId="0" fontId="8" fillId="0" borderId="0" xfId="1" applyFont="1" applyAlignment="1">
      <alignment horizontal="left" vertical="center" indent="4" readingOrder="1"/>
    </xf>
    <xf numFmtId="0" fontId="7" fillId="0" borderId="0" xfId="1" applyFont="1" applyAlignment="1">
      <alignment vertical="center" readingOrder="1"/>
    </xf>
    <xf numFmtId="0" fontId="3" fillId="0" borderId="0" xfId="1" applyFont="1"/>
    <xf numFmtId="0" fontId="1" fillId="0" borderId="0" xfId="1" applyAlignment="1">
      <alignment horizontal="center"/>
    </xf>
    <xf numFmtId="0" fontId="1" fillId="0" borderId="2" xfId="1" applyBorder="1"/>
    <xf numFmtId="0" fontId="2" fillId="0" borderId="6" xfId="1" applyFont="1" applyBorder="1"/>
    <xf numFmtId="0" fontId="1" fillId="0" borderId="10" xfId="1" applyBorder="1"/>
    <xf numFmtId="0" fontId="2" fillId="0" borderId="10" xfId="1" applyFont="1" applyBorder="1"/>
    <xf numFmtId="3" fontId="2" fillId="0" borderId="1" xfId="1" applyNumberFormat="1" applyFont="1" applyBorder="1" applyAlignment="1">
      <alignment horizontal="center"/>
    </xf>
    <xf numFmtId="0" fontId="1" fillId="0" borderId="1" xfId="1" applyBorder="1" applyAlignment="1">
      <alignment horizontal="center"/>
    </xf>
    <xf numFmtId="3" fontId="1" fillId="0" borderId="1" xfId="1" applyNumberFormat="1" applyBorder="1"/>
    <xf numFmtId="0" fontId="1" fillId="0" borderId="12" xfId="1" applyBorder="1"/>
    <xf numFmtId="3" fontId="1" fillId="0" borderId="9" xfId="1" applyNumberFormat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3" fontId="1" fillId="0" borderId="8" xfId="1" applyNumberFormat="1" applyBorder="1" applyAlignment="1">
      <alignment horizontal="center"/>
    </xf>
    <xf numFmtId="3" fontId="1" fillId="0" borderId="7" xfId="1" applyNumberFormat="1" applyBorder="1" applyAlignment="1">
      <alignment horizontal="center"/>
    </xf>
    <xf numFmtId="3" fontId="1" fillId="0" borderId="1" xfId="1" applyNumberFormat="1" applyBorder="1" applyAlignment="1">
      <alignment horizontal="center"/>
    </xf>
    <xf numFmtId="3" fontId="2" fillId="0" borderId="5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3" fontId="2" fillId="0" borderId="9" xfId="1" applyNumberFormat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7" xfId="1" applyFont="1" applyBorder="1" applyAlignment="1">
      <alignment horizontal="center"/>
    </xf>
  </cellXfs>
  <cellStyles count="3">
    <cellStyle name="Normál" xfId="0" builtinId="0"/>
    <cellStyle name="Normál 2" xfId="1"/>
    <cellStyle name="Normá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7"/>
  <sheetViews>
    <sheetView topLeftCell="A25" zoomScale="85" zoomScaleNormal="85" workbookViewId="0">
      <selection activeCell="C65" sqref="C65"/>
    </sheetView>
  </sheetViews>
  <sheetFormatPr defaultRowHeight="15" x14ac:dyDescent="0.25"/>
  <cols>
    <col min="1" max="1" width="9.140625" style="1"/>
    <col min="2" max="2" width="10.42578125" style="1" customWidth="1"/>
    <col min="3" max="3" width="9.7109375" style="1" customWidth="1"/>
    <col min="4" max="4" width="10" style="1" customWidth="1"/>
    <col min="5" max="5" width="9.140625" style="1"/>
    <col min="6" max="6" width="10.7109375" style="1" customWidth="1"/>
    <col min="7" max="7" width="11.7109375" style="1" customWidth="1"/>
    <col min="8" max="8" width="11.140625" style="1" customWidth="1"/>
    <col min="9" max="10" width="9.140625" style="1"/>
    <col min="11" max="11" width="14.140625" style="1" customWidth="1"/>
    <col min="12" max="16384" width="9.140625" style="1"/>
  </cols>
  <sheetData>
    <row r="1" spans="1:7" x14ac:dyDescent="0.25">
      <c r="A1" s="1" t="s">
        <v>7</v>
      </c>
      <c r="D1" s="2"/>
    </row>
    <row r="2" spans="1:7" ht="30" x14ac:dyDescent="0.25">
      <c r="A2" s="3" t="s">
        <v>8</v>
      </c>
      <c r="B2" s="3" t="s">
        <v>1</v>
      </c>
      <c r="C2" s="3" t="s">
        <v>9</v>
      </c>
      <c r="D2" s="3" t="s">
        <v>10</v>
      </c>
      <c r="E2" s="3" t="s">
        <v>2</v>
      </c>
      <c r="F2" s="3" t="s">
        <v>11</v>
      </c>
      <c r="G2" s="3" t="s">
        <v>12</v>
      </c>
    </row>
    <row r="3" spans="1:7" x14ac:dyDescent="0.25">
      <c r="A3" s="4">
        <v>0</v>
      </c>
      <c r="B3" s="2">
        <v>0</v>
      </c>
      <c r="C3" s="2">
        <v>400</v>
      </c>
      <c r="D3" s="2">
        <v>0</v>
      </c>
      <c r="E3" s="2">
        <v>0</v>
      </c>
      <c r="F3" s="2">
        <v>400</v>
      </c>
      <c r="G3" s="2">
        <v>-400</v>
      </c>
    </row>
    <row r="4" spans="1:7" x14ac:dyDescent="0.25">
      <c r="A4" s="4">
        <v>20</v>
      </c>
      <c r="B4" s="4">
        <f>A4*40</f>
        <v>800</v>
      </c>
      <c r="C4" s="2">
        <v>400</v>
      </c>
      <c r="D4" s="2">
        <v>600</v>
      </c>
      <c r="E4" s="5">
        <v>200</v>
      </c>
      <c r="F4" s="2">
        <v>1000</v>
      </c>
      <c r="G4" s="2">
        <v>-200</v>
      </c>
    </row>
    <row r="5" spans="1:7" x14ac:dyDescent="0.25">
      <c r="A5" s="4">
        <v>40</v>
      </c>
      <c r="B5" s="2">
        <v>1600</v>
      </c>
      <c r="C5" s="5">
        <v>400</v>
      </c>
      <c r="D5" s="2">
        <v>1200</v>
      </c>
      <c r="E5" s="2">
        <v>400</v>
      </c>
      <c r="F5" s="2">
        <v>1600</v>
      </c>
      <c r="G5" s="4">
        <f>B5-F5</f>
        <v>0</v>
      </c>
    </row>
    <row r="6" spans="1:7" x14ac:dyDescent="0.25">
      <c r="A6" s="4">
        <v>50</v>
      </c>
      <c r="B6" s="2">
        <v>2000</v>
      </c>
      <c r="C6" s="2">
        <v>400</v>
      </c>
      <c r="D6" s="5">
        <v>1500</v>
      </c>
      <c r="E6" s="2">
        <v>500</v>
      </c>
      <c r="F6" s="2">
        <v>1900</v>
      </c>
      <c r="G6" s="2">
        <v>100</v>
      </c>
    </row>
    <row r="7" spans="1:7" x14ac:dyDescent="0.25">
      <c r="A7" s="4">
        <v>100</v>
      </c>
      <c r="B7" s="2">
        <v>4000</v>
      </c>
      <c r="C7" s="5">
        <v>400</v>
      </c>
      <c r="D7" s="2">
        <v>3000</v>
      </c>
      <c r="E7" s="2">
        <v>1000</v>
      </c>
      <c r="F7" s="5">
        <v>3400</v>
      </c>
      <c r="G7" s="2">
        <v>600</v>
      </c>
    </row>
    <row r="8" spans="1:7" x14ac:dyDescent="0.25">
      <c r="D8" s="1" t="s">
        <v>13</v>
      </c>
    </row>
    <row r="9" spans="1:7" x14ac:dyDescent="0.25">
      <c r="A9" s="6" t="s">
        <v>14</v>
      </c>
      <c r="B9" s="6">
        <v>40</v>
      </c>
      <c r="C9" s="6"/>
      <c r="D9" s="6" t="s">
        <v>15</v>
      </c>
      <c r="E9" s="6">
        <v>40</v>
      </c>
    </row>
    <row r="10" spans="1:7" x14ac:dyDescent="0.25">
      <c r="A10" s="6" t="s">
        <v>16</v>
      </c>
      <c r="B10" s="6">
        <v>30</v>
      </c>
      <c r="C10" s="6"/>
      <c r="D10" s="6"/>
      <c r="E10" s="6"/>
    </row>
    <row r="12" spans="1:7" x14ac:dyDescent="0.25">
      <c r="A12" s="1" t="s">
        <v>17</v>
      </c>
    </row>
    <row r="13" spans="1:7" ht="30" x14ac:dyDescent="0.25">
      <c r="A13" s="3" t="s">
        <v>8</v>
      </c>
      <c r="B13" s="3" t="s">
        <v>1</v>
      </c>
      <c r="C13" s="3" t="s">
        <v>9</v>
      </c>
      <c r="D13" s="3" t="s">
        <v>10</v>
      </c>
      <c r="E13" s="3" t="s">
        <v>2</v>
      </c>
      <c r="F13" s="3" t="s">
        <v>11</v>
      </c>
      <c r="G13" s="3" t="s">
        <v>12</v>
      </c>
    </row>
    <row r="14" spans="1:7" x14ac:dyDescent="0.25">
      <c r="A14" s="2">
        <v>0</v>
      </c>
      <c r="B14" s="5">
        <f t="shared" ref="B14:B19" si="0">A14*$B$21</f>
        <v>0</v>
      </c>
      <c r="C14" s="2">
        <v>25410</v>
      </c>
      <c r="D14" s="2">
        <f t="shared" ref="D14:D19" si="1">A14*$B$22</f>
        <v>0</v>
      </c>
      <c r="E14" s="2">
        <f t="shared" ref="E14:E19" si="2">B14-D14</f>
        <v>0</v>
      </c>
      <c r="F14" s="2">
        <f t="shared" ref="F14:F19" si="3">C14+D14</f>
        <v>25410</v>
      </c>
      <c r="G14" s="2">
        <f t="shared" ref="G14:G19" si="4">E14-C14</f>
        <v>-25410</v>
      </c>
    </row>
    <row r="15" spans="1:7" x14ac:dyDescent="0.25">
      <c r="A15" s="2">
        <v>5</v>
      </c>
      <c r="B15" s="2">
        <f t="shared" si="0"/>
        <v>7850</v>
      </c>
      <c r="C15" s="2">
        <v>25410</v>
      </c>
      <c r="D15" s="2">
        <f t="shared" si="1"/>
        <v>4220</v>
      </c>
      <c r="E15" s="5">
        <f t="shared" si="2"/>
        <v>3630</v>
      </c>
      <c r="F15" s="2">
        <f t="shared" si="3"/>
        <v>29630</v>
      </c>
      <c r="G15" s="5">
        <f t="shared" si="4"/>
        <v>-21780</v>
      </c>
    </row>
    <row r="16" spans="1:7" x14ac:dyDescent="0.25">
      <c r="A16" s="5">
        <v>8</v>
      </c>
      <c r="B16" s="2">
        <f t="shared" si="0"/>
        <v>12560</v>
      </c>
      <c r="C16" s="2">
        <v>25410</v>
      </c>
      <c r="D16" s="5">
        <f t="shared" si="1"/>
        <v>6752</v>
      </c>
      <c r="E16" s="2">
        <f t="shared" si="2"/>
        <v>5808</v>
      </c>
      <c r="F16" s="2">
        <f t="shared" si="3"/>
        <v>32162</v>
      </c>
      <c r="G16" s="2">
        <f t="shared" si="4"/>
        <v>-19602</v>
      </c>
    </row>
    <row r="17" spans="1:12" x14ac:dyDescent="0.25">
      <c r="A17" s="2">
        <v>25</v>
      </c>
      <c r="B17" s="5">
        <f t="shared" si="0"/>
        <v>39250</v>
      </c>
      <c r="C17" s="2">
        <v>25410</v>
      </c>
      <c r="D17" s="2">
        <f t="shared" si="1"/>
        <v>21100</v>
      </c>
      <c r="E17" s="2">
        <f t="shared" si="2"/>
        <v>18150</v>
      </c>
      <c r="F17" s="2">
        <f t="shared" si="3"/>
        <v>46510</v>
      </c>
      <c r="G17" s="2">
        <f t="shared" si="4"/>
        <v>-7260</v>
      </c>
    </row>
    <row r="18" spans="1:12" x14ac:dyDescent="0.25">
      <c r="A18" s="2">
        <v>40</v>
      </c>
      <c r="B18" s="2">
        <f t="shared" si="0"/>
        <v>62800</v>
      </c>
      <c r="C18" s="2">
        <v>25410</v>
      </c>
      <c r="D18" s="5">
        <f t="shared" si="1"/>
        <v>33760</v>
      </c>
      <c r="E18" s="2">
        <f t="shared" si="2"/>
        <v>29040</v>
      </c>
      <c r="F18" s="2">
        <f t="shared" si="3"/>
        <v>59170</v>
      </c>
      <c r="G18" s="2">
        <f t="shared" si="4"/>
        <v>3630</v>
      </c>
    </row>
    <row r="19" spans="1:12" x14ac:dyDescent="0.25">
      <c r="A19" s="5">
        <v>550</v>
      </c>
      <c r="B19" s="5">
        <f t="shared" si="0"/>
        <v>863500</v>
      </c>
      <c r="C19" s="2">
        <v>25410</v>
      </c>
      <c r="D19" s="2">
        <f t="shared" si="1"/>
        <v>464200</v>
      </c>
      <c r="E19" s="2">
        <f t="shared" si="2"/>
        <v>399300</v>
      </c>
      <c r="F19" s="2">
        <f t="shared" si="3"/>
        <v>489610</v>
      </c>
      <c r="G19" s="2">
        <f t="shared" si="4"/>
        <v>373890</v>
      </c>
    </row>
    <row r="21" spans="1:12" x14ac:dyDescent="0.25">
      <c r="A21" s="1" t="s">
        <v>14</v>
      </c>
      <c r="B21" s="1">
        <v>1570</v>
      </c>
      <c r="D21" s="1" t="s">
        <v>18</v>
      </c>
      <c r="E21" s="1">
        <v>14520</v>
      </c>
    </row>
    <row r="22" spans="1:12" x14ac:dyDescent="0.25">
      <c r="A22" s="1" t="s">
        <v>19</v>
      </c>
      <c r="B22" s="1">
        <v>844</v>
      </c>
    </row>
    <row r="23" spans="1:12" x14ac:dyDescent="0.25">
      <c r="A23" s="1" t="s">
        <v>20</v>
      </c>
      <c r="B23" s="1">
        <f>B21-B22</f>
        <v>726</v>
      </c>
    </row>
    <row r="24" spans="1:12" x14ac:dyDescent="0.25">
      <c r="A24" s="1" t="s">
        <v>21</v>
      </c>
      <c r="B24" s="1">
        <f>C19/B23</f>
        <v>35</v>
      </c>
      <c r="C24" s="1" t="s">
        <v>5</v>
      </c>
      <c r="D24" s="1" t="s">
        <v>22</v>
      </c>
      <c r="E24" s="1">
        <f>(C19-E21)/B23</f>
        <v>15</v>
      </c>
      <c r="F24" s="1" t="s">
        <v>5</v>
      </c>
      <c r="I24" s="1" t="s">
        <v>23</v>
      </c>
    </row>
    <row r="26" spans="1:12" x14ac:dyDescent="0.25">
      <c r="A26" s="7" t="s">
        <v>24</v>
      </c>
      <c r="B26" s="1" t="s">
        <v>25</v>
      </c>
    </row>
    <row r="27" spans="1:12" x14ac:dyDescent="0.25">
      <c r="A27" s="8" t="s">
        <v>26</v>
      </c>
      <c r="B27" s="1" t="s">
        <v>27</v>
      </c>
      <c r="C27" s="1" t="s">
        <v>28</v>
      </c>
      <c r="D27" s="1" t="s">
        <v>29</v>
      </c>
      <c r="E27" s="1" t="s">
        <v>30</v>
      </c>
    </row>
    <row r="28" spans="1:12" x14ac:dyDescent="0.25">
      <c r="A28" s="1">
        <v>32</v>
      </c>
      <c r="B28" s="1">
        <v>28</v>
      </c>
      <c r="C28" s="1">
        <v>4</v>
      </c>
      <c r="D28" s="1">
        <v>128000</v>
      </c>
      <c r="E28" s="1">
        <v>36000</v>
      </c>
      <c r="G28" s="1" t="s">
        <v>31</v>
      </c>
      <c r="I28" s="1" t="s">
        <v>32</v>
      </c>
    </row>
    <row r="29" spans="1:12" x14ac:dyDescent="0.25">
      <c r="G29" s="1" t="s">
        <v>33</v>
      </c>
      <c r="H29" s="9" t="s">
        <v>6</v>
      </c>
      <c r="I29" s="1">
        <f>D28/(A28-B28)</f>
        <v>32000</v>
      </c>
      <c r="K29" s="1" t="s">
        <v>34</v>
      </c>
      <c r="L29" s="1">
        <f>I29*C28</f>
        <v>128000</v>
      </c>
    </row>
    <row r="30" spans="1:12" x14ac:dyDescent="0.25">
      <c r="A30" s="8"/>
      <c r="G30" s="1" t="s">
        <v>35</v>
      </c>
      <c r="I30" s="1" t="s">
        <v>36</v>
      </c>
    </row>
    <row r="31" spans="1:12" x14ac:dyDescent="0.25">
      <c r="G31" s="1" t="s">
        <v>37</v>
      </c>
      <c r="H31" s="9" t="s">
        <v>6</v>
      </c>
      <c r="I31" s="1">
        <f>(D28-E28)/C28</f>
        <v>23000</v>
      </c>
      <c r="K31" s="1" t="s">
        <v>38</v>
      </c>
      <c r="L31" s="1">
        <f>I31*C28</f>
        <v>92000</v>
      </c>
    </row>
    <row r="34" spans="1:9" x14ac:dyDescent="0.25">
      <c r="A34" s="10"/>
      <c r="B34" s="10"/>
      <c r="C34" s="10"/>
      <c r="D34" s="10"/>
      <c r="E34" s="10"/>
      <c r="F34" s="10"/>
      <c r="G34" s="10"/>
      <c r="H34" s="10"/>
      <c r="I34" s="10"/>
    </row>
    <row r="37" spans="1:9" x14ac:dyDescent="0.25">
      <c r="A37" s="1" t="s">
        <v>39</v>
      </c>
    </row>
    <row r="38" spans="1:9" ht="15.75" x14ac:dyDescent="0.25">
      <c r="A38" s="11" t="s">
        <v>40</v>
      </c>
    </row>
    <row r="39" spans="1:9" ht="15.75" x14ac:dyDescent="0.25">
      <c r="A39" s="12" t="s">
        <v>41</v>
      </c>
    </row>
    <row r="40" spans="1:9" ht="15.75" x14ac:dyDescent="0.25">
      <c r="A40" s="12" t="s">
        <v>42</v>
      </c>
    </row>
    <row r="41" spans="1:9" ht="15.75" x14ac:dyDescent="0.25">
      <c r="A41" s="12" t="s">
        <v>43</v>
      </c>
    </row>
    <row r="42" spans="1:9" ht="15.75" x14ac:dyDescent="0.25">
      <c r="A42" s="12" t="s">
        <v>44</v>
      </c>
    </row>
    <row r="43" spans="1:9" ht="15.75" x14ac:dyDescent="0.25">
      <c r="A43" s="12" t="s">
        <v>45</v>
      </c>
    </row>
    <row r="44" spans="1:9" ht="15.75" x14ac:dyDescent="0.25">
      <c r="A44" s="11" t="s">
        <v>46</v>
      </c>
    </row>
    <row r="45" spans="1:9" ht="15.75" x14ac:dyDescent="0.25">
      <c r="A45" s="12" t="s">
        <v>47</v>
      </c>
    </row>
    <row r="46" spans="1:9" ht="15.75" x14ac:dyDescent="0.25">
      <c r="A46" s="13" t="s">
        <v>48</v>
      </c>
    </row>
    <row r="47" spans="1:9" ht="15.75" x14ac:dyDescent="0.25">
      <c r="A47" s="12" t="s">
        <v>49</v>
      </c>
    </row>
    <row r="48" spans="1:9" ht="15.75" x14ac:dyDescent="0.25">
      <c r="A48" s="12" t="s">
        <v>50</v>
      </c>
    </row>
    <row r="50" spans="1:9" ht="15.75" x14ac:dyDescent="0.25">
      <c r="A50" s="14" t="s">
        <v>14</v>
      </c>
      <c r="B50" s="1">
        <v>120</v>
      </c>
      <c r="C50" s="1" t="s">
        <v>51</v>
      </c>
    </row>
    <row r="51" spans="1:9" ht="15.75" x14ac:dyDescent="0.25">
      <c r="A51" s="14" t="s">
        <v>52</v>
      </c>
      <c r="B51" s="1">
        <v>70</v>
      </c>
      <c r="C51" s="1" t="s">
        <v>51</v>
      </c>
    </row>
    <row r="52" spans="1:9" ht="15.75" x14ac:dyDescent="0.25">
      <c r="A52" s="14" t="s">
        <v>6</v>
      </c>
      <c r="B52" s="1">
        <v>500000</v>
      </c>
      <c r="C52" s="1" t="s">
        <v>5</v>
      </c>
    </row>
    <row r="53" spans="1:9" ht="15.75" x14ac:dyDescent="0.25">
      <c r="A53" s="14" t="s">
        <v>53</v>
      </c>
      <c r="B53" s="1">
        <v>20000000</v>
      </c>
      <c r="C53" s="1" t="s">
        <v>54</v>
      </c>
    </row>
    <row r="54" spans="1:9" ht="15.75" x14ac:dyDescent="0.25">
      <c r="A54" s="14" t="s">
        <v>55</v>
      </c>
      <c r="B54" s="1">
        <v>14000000</v>
      </c>
      <c r="C54" s="1" t="s">
        <v>54</v>
      </c>
    </row>
    <row r="57" spans="1:9" x14ac:dyDescent="0.25">
      <c r="A57" s="1">
        <v>1</v>
      </c>
      <c r="E57" s="1">
        <v>3</v>
      </c>
    </row>
    <row r="58" spans="1:9" x14ac:dyDescent="0.25">
      <c r="A58" s="1" t="s">
        <v>56</v>
      </c>
      <c r="B58" s="1">
        <f>B50-B51</f>
        <v>50</v>
      </c>
      <c r="C58" s="1" t="s">
        <v>51</v>
      </c>
      <c r="E58" s="1" t="s">
        <v>57</v>
      </c>
      <c r="F58" s="1">
        <v>9000000</v>
      </c>
      <c r="H58" s="15" t="s">
        <v>58</v>
      </c>
      <c r="I58" s="1">
        <f>F58-B60</f>
        <v>4000000</v>
      </c>
    </row>
    <row r="59" spans="1:9" x14ac:dyDescent="0.25">
      <c r="A59" s="1" t="s">
        <v>59</v>
      </c>
      <c r="B59" s="1">
        <f>B52*B58</f>
        <v>25000000</v>
      </c>
      <c r="C59" s="1" t="s">
        <v>54</v>
      </c>
      <c r="E59" s="1" t="s">
        <v>6</v>
      </c>
      <c r="F59" s="1">
        <f>(F58+B53)/B58</f>
        <v>580000</v>
      </c>
      <c r="H59" s="1" t="s">
        <v>60</v>
      </c>
      <c r="I59" s="1">
        <f>I58/B58</f>
        <v>80000</v>
      </c>
    </row>
    <row r="60" spans="1:9" x14ac:dyDescent="0.25">
      <c r="A60" s="1" t="s">
        <v>57</v>
      </c>
      <c r="B60" s="1">
        <f>B59-B53</f>
        <v>5000000</v>
      </c>
      <c r="H60" s="1" t="s">
        <v>6</v>
      </c>
      <c r="I60" s="1">
        <f>B52+I59</f>
        <v>580000</v>
      </c>
    </row>
    <row r="62" spans="1:9" x14ac:dyDescent="0.25">
      <c r="A62" s="1">
        <v>2</v>
      </c>
      <c r="E62" s="1">
        <v>4</v>
      </c>
    </row>
    <row r="63" spans="1:9" x14ac:dyDescent="0.25">
      <c r="A63" s="1" t="s">
        <v>61</v>
      </c>
      <c r="B63" s="1">
        <f>B53/B58</f>
        <v>400000</v>
      </c>
      <c r="C63" s="1" t="s">
        <v>5</v>
      </c>
      <c r="E63" s="1" t="s">
        <v>57</v>
      </c>
      <c r="F63" s="1">
        <v>9000000</v>
      </c>
    </row>
    <row r="64" spans="1:9" x14ac:dyDescent="0.25">
      <c r="A64" s="1" t="s">
        <v>62</v>
      </c>
      <c r="B64" s="1">
        <f>(B53-B54)/B58</f>
        <v>120000</v>
      </c>
      <c r="C64" s="1" t="s">
        <v>5</v>
      </c>
      <c r="E64" s="1" t="s">
        <v>6</v>
      </c>
      <c r="F64" s="1">
        <v>500000</v>
      </c>
    </row>
    <row r="65" spans="5:6" x14ac:dyDescent="0.25">
      <c r="E65" s="1" t="s">
        <v>63</v>
      </c>
      <c r="F65" s="1">
        <f>F63+B53</f>
        <v>29000000</v>
      </c>
    </row>
    <row r="66" spans="5:6" x14ac:dyDescent="0.25">
      <c r="E66" s="1" t="s">
        <v>56</v>
      </c>
      <c r="F66" s="1">
        <f>F65/F64</f>
        <v>58</v>
      </c>
    </row>
    <row r="67" spans="5:6" x14ac:dyDescent="0.25">
      <c r="E67" s="1" t="s">
        <v>14</v>
      </c>
      <c r="F67" s="1">
        <f>B51+F66</f>
        <v>128</v>
      </c>
    </row>
  </sheetData>
  <pageMargins left="0.25" right="0.25" top="0.75" bottom="0.75" header="0.3" footer="0.3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4:K29"/>
  <sheetViews>
    <sheetView tabSelected="1" workbookViewId="0">
      <selection activeCell="G10" sqref="G10"/>
    </sheetView>
  </sheetViews>
  <sheetFormatPr defaultRowHeight="15" x14ac:dyDescent="0.25"/>
  <cols>
    <col min="1" max="3" width="9.140625" style="1"/>
    <col min="4" max="4" width="38.7109375" style="1" bestFit="1" customWidth="1"/>
    <col min="5" max="5" width="12.5703125" style="16" customWidth="1"/>
    <col min="6" max="10" width="10.85546875" style="1" bestFit="1" customWidth="1"/>
    <col min="11" max="16384" width="9.140625" style="1"/>
  </cols>
  <sheetData>
    <row r="4" spans="4:11" x14ac:dyDescent="0.25">
      <c r="D4" s="1" t="s">
        <v>90</v>
      </c>
    </row>
    <row r="7" spans="4:11" x14ac:dyDescent="0.25">
      <c r="D7" s="4" t="s">
        <v>3</v>
      </c>
      <c r="E7" s="22" t="s">
        <v>89</v>
      </c>
      <c r="F7" s="22" t="s">
        <v>0</v>
      </c>
      <c r="G7" s="22" t="s">
        <v>79</v>
      </c>
      <c r="H7" s="22" t="s">
        <v>78</v>
      </c>
      <c r="I7" s="22" t="s">
        <v>77</v>
      </c>
      <c r="J7" s="22" t="s">
        <v>76</v>
      </c>
      <c r="K7" s="22" t="s">
        <v>75</v>
      </c>
    </row>
    <row r="8" spans="4:11" x14ac:dyDescent="0.25">
      <c r="D8" s="4" t="s">
        <v>88</v>
      </c>
      <c r="E8" s="22" t="s">
        <v>4</v>
      </c>
      <c r="F8" s="23">
        <v>25000</v>
      </c>
      <c r="G8" s="23">
        <v>19000</v>
      </c>
      <c r="H8" s="23">
        <v>22000</v>
      </c>
      <c r="I8" s="23">
        <v>12000</v>
      </c>
      <c r="J8" s="23">
        <v>8000</v>
      </c>
      <c r="K8" s="23">
        <v>10000</v>
      </c>
    </row>
    <row r="9" spans="4:11" x14ac:dyDescent="0.25">
      <c r="D9" s="4" t="s">
        <v>87</v>
      </c>
      <c r="E9" s="22" t="s">
        <v>5</v>
      </c>
      <c r="F9" s="23">
        <v>5000</v>
      </c>
      <c r="G9" s="23">
        <v>8000</v>
      </c>
      <c r="H9" s="23">
        <v>12000</v>
      </c>
      <c r="I9" s="23">
        <v>10000</v>
      </c>
      <c r="J9" s="23">
        <v>15000</v>
      </c>
      <c r="K9" s="23">
        <v>20000</v>
      </c>
    </row>
    <row r="10" spans="4:11" x14ac:dyDescent="0.25">
      <c r="D10" s="4" t="s">
        <v>10</v>
      </c>
      <c r="E10" s="22" t="s">
        <v>86</v>
      </c>
      <c r="F10" s="23">
        <v>14000</v>
      </c>
      <c r="G10" s="23">
        <v>8000</v>
      </c>
      <c r="H10" s="23">
        <v>11000</v>
      </c>
      <c r="I10" s="23">
        <v>6000</v>
      </c>
      <c r="J10" s="23">
        <v>4500</v>
      </c>
      <c r="K10" s="23">
        <v>5500</v>
      </c>
    </row>
    <row r="11" spans="4:11" x14ac:dyDescent="0.25">
      <c r="D11" s="4" t="s">
        <v>85</v>
      </c>
      <c r="E11" s="22" t="s">
        <v>81</v>
      </c>
      <c r="F11" s="23">
        <v>5000</v>
      </c>
      <c r="G11" s="23">
        <v>8000</v>
      </c>
      <c r="H11" s="23">
        <v>10000</v>
      </c>
      <c r="I11" s="23">
        <v>4000</v>
      </c>
      <c r="J11" s="23">
        <v>5500</v>
      </c>
      <c r="K11" s="23">
        <v>8000</v>
      </c>
    </row>
    <row r="12" spans="4:11" x14ac:dyDescent="0.25">
      <c r="D12" s="4" t="s">
        <v>84</v>
      </c>
      <c r="E12" s="22" t="s">
        <v>81</v>
      </c>
      <c r="F12" s="23"/>
      <c r="G12" s="29">
        <v>18000</v>
      </c>
      <c r="H12" s="29"/>
      <c r="I12" s="29">
        <v>35000</v>
      </c>
      <c r="J12" s="29"/>
      <c r="K12" s="29"/>
    </row>
    <row r="13" spans="4:11" x14ac:dyDescent="0.25">
      <c r="D13" s="4" t="s">
        <v>83</v>
      </c>
      <c r="E13" s="22" t="s">
        <v>81</v>
      </c>
      <c r="F13" s="29">
        <v>44000</v>
      </c>
      <c r="G13" s="29"/>
      <c r="H13" s="29"/>
      <c r="I13" s="29">
        <v>30000</v>
      </c>
      <c r="J13" s="29"/>
      <c r="K13" s="29"/>
    </row>
    <row r="14" spans="4:11" x14ac:dyDescent="0.25">
      <c r="D14" s="4" t="s">
        <v>82</v>
      </c>
      <c r="E14" s="22" t="s">
        <v>81</v>
      </c>
      <c r="F14" s="29">
        <v>60000</v>
      </c>
      <c r="G14" s="29"/>
      <c r="H14" s="29"/>
      <c r="I14" s="29"/>
      <c r="J14" s="29"/>
      <c r="K14" s="29"/>
    </row>
    <row r="16" spans="4:11" x14ac:dyDescent="0.25">
      <c r="D16" s="1" t="s">
        <v>80</v>
      </c>
    </row>
    <row r="18" spans="4:11" ht="15.75" thickBot="1" x14ac:dyDescent="0.3">
      <c r="E18" s="22" t="s">
        <v>0</v>
      </c>
      <c r="F18" s="22" t="s">
        <v>79</v>
      </c>
      <c r="G18" s="22" t="s">
        <v>78</v>
      </c>
      <c r="H18" s="22" t="s">
        <v>77</v>
      </c>
      <c r="I18" s="22" t="s">
        <v>76</v>
      </c>
      <c r="J18" s="22" t="s">
        <v>75</v>
      </c>
    </row>
    <row r="19" spans="4:11" x14ac:dyDescent="0.25">
      <c r="D19" s="24" t="s">
        <v>74</v>
      </c>
      <c r="E19" s="23">
        <f t="shared" ref="E19:J20" si="0">+F8*F9</f>
        <v>125000000</v>
      </c>
      <c r="F19" s="23">
        <f t="shared" si="0"/>
        <v>152000000</v>
      </c>
      <c r="G19" s="23">
        <f t="shared" si="0"/>
        <v>264000000</v>
      </c>
      <c r="H19" s="23">
        <f t="shared" si="0"/>
        <v>120000000</v>
      </c>
      <c r="I19" s="23">
        <f t="shared" si="0"/>
        <v>120000000</v>
      </c>
      <c r="J19" s="23">
        <f t="shared" si="0"/>
        <v>200000000</v>
      </c>
      <c r="K19" s="17"/>
    </row>
    <row r="20" spans="4:11" x14ac:dyDescent="0.25">
      <c r="D20" s="19" t="s">
        <v>73</v>
      </c>
      <c r="E20" s="23">
        <f t="shared" si="0"/>
        <v>70000000</v>
      </c>
      <c r="F20" s="23">
        <f t="shared" si="0"/>
        <v>64000000</v>
      </c>
      <c r="G20" s="23">
        <f t="shared" si="0"/>
        <v>132000000</v>
      </c>
      <c r="H20" s="23">
        <f t="shared" si="0"/>
        <v>60000000</v>
      </c>
      <c r="I20" s="23">
        <f t="shared" si="0"/>
        <v>67500000</v>
      </c>
      <c r="J20" s="23">
        <f t="shared" si="0"/>
        <v>110000000</v>
      </c>
      <c r="K20" s="17"/>
    </row>
    <row r="21" spans="4:11" x14ac:dyDescent="0.25">
      <c r="D21" s="20" t="s">
        <v>72</v>
      </c>
      <c r="E21" s="21">
        <f t="shared" ref="E21:J21" si="1">+E19-E20</f>
        <v>55000000</v>
      </c>
      <c r="F21" s="21">
        <f t="shared" si="1"/>
        <v>88000000</v>
      </c>
      <c r="G21" s="21">
        <f t="shared" si="1"/>
        <v>132000000</v>
      </c>
      <c r="H21" s="21">
        <f t="shared" si="1"/>
        <v>60000000</v>
      </c>
      <c r="I21" s="21">
        <f t="shared" si="1"/>
        <v>52500000</v>
      </c>
      <c r="J21" s="21">
        <f t="shared" si="1"/>
        <v>90000000</v>
      </c>
      <c r="K21" s="17"/>
    </row>
    <row r="22" spans="4:11" x14ac:dyDescent="0.25">
      <c r="D22" s="19" t="s">
        <v>71</v>
      </c>
      <c r="E22" s="23">
        <f t="shared" ref="E22:J22" si="2">+F11*1000</f>
        <v>5000000</v>
      </c>
      <c r="F22" s="23">
        <f t="shared" si="2"/>
        <v>8000000</v>
      </c>
      <c r="G22" s="23">
        <f t="shared" si="2"/>
        <v>10000000</v>
      </c>
      <c r="H22" s="23">
        <f t="shared" si="2"/>
        <v>4000000</v>
      </c>
      <c r="I22" s="23">
        <f t="shared" si="2"/>
        <v>5500000</v>
      </c>
      <c r="J22" s="23">
        <f t="shared" si="2"/>
        <v>8000000</v>
      </c>
      <c r="K22" s="17"/>
    </row>
    <row r="23" spans="4:11" x14ac:dyDescent="0.25">
      <c r="D23" s="20" t="s">
        <v>70</v>
      </c>
      <c r="E23" s="21">
        <f t="shared" ref="E23:J23" si="3">+E21-E22</f>
        <v>50000000</v>
      </c>
      <c r="F23" s="21">
        <f t="shared" si="3"/>
        <v>80000000</v>
      </c>
      <c r="G23" s="21">
        <f t="shared" si="3"/>
        <v>122000000</v>
      </c>
      <c r="H23" s="21">
        <f t="shared" si="3"/>
        <v>56000000</v>
      </c>
      <c r="I23" s="21">
        <f t="shared" si="3"/>
        <v>47000000</v>
      </c>
      <c r="J23" s="21">
        <f t="shared" si="3"/>
        <v>82000000</v>
      </c>
      <c r="K23" s="17"/>
    </row>
    <row r="24" spans="4:11" x14ac:dyDescent="0.25">
      <c r="D24" s="19" t="s">
        <v>69</v>
      </c>
      <c r="E24" s="22"/>
      <c r="F24" s="25">
        <f>+G12*1000</f>
        <v>18000000</v>
      </c>
      <c r="G24" s="26"/>
      <c r="H24" s="25">
        <f>+I12*1000</f>
        <v>35000000</v>
      </c>
      <c r="I24" s="27"/>
      <c r="J24" s="28"/>
      <c r="K24" s="17"/>
    </row>
    <row r="25" spans="4:11" x14ac:dyDescent="0.25">
      <c r="D25" s="20" t="s">
        <v>68</v>
      </c>
      <c r="E25" s="21">
        <f>+E23</f>
        <v>50000000</v>
      </c>
      <c r="F25" s="33">
        <f>+F23+G23-F24</f>
        <v>184000000</v>
      </c>
      <c r="G25" s="34"/>
      <c r="H25" s="33">
        <f>+H23+I23+J23-H24</f>
        <v>150000000</v>
      </c>
      <c r="I25" s="35"/>
      <c r="J25" s="36"/>
      <c r="K25" s="17"/>
    </row>
    <row r="26" spans="4:11" x14ac:dyDescent="0.25">
      <c r="D26" s="19" t="s">
        <v>67</v>
      </c>
      <c r="E26" s="25">
        <f>+F13*1000</f>
        <v>44000000</v>
      </c>
      <c r="F26" s="27"/>
      <c r="G26" s="26"/>
      <c r="H26" s="25">
        <f>+I13*1000</f>
        <v>30000000</v>
      </c>
      <c r="I26" s="27"/>
      <c r="J26" s="28"/>
      <c r="K26" s="17"/>
    </row>
    <row r="27" spans="4:11" x14ac:dyDescent="0.25">
      <c r="D27" s="20" t="s">
        <v>66</v>
      </c>
      <c r="E27" s="33">
        <f>+E25+F25-E26</f>
        <v>190000000</v>
      </c>
      <c r="F27" s="35"/>
      <c r="G27" s="34"/>
      <c r="H27" s="33">
        <f>+H25-H26</f>
        <v>120000000</v>
      </c>
      <c r="I27" s="35"/>
      <c r="J27" s="36"/>
      <c r="K27" s="17"/>
    </row>
    <row r="28" spans="4:11" x14ac:dyDescent="0.25">
      <c r="D28" s="19" t="s">
        <v>65</v>
      </c>
      <c r="E28" s="25">
        <f>+F14*1000</f>
        <v>60000000</v>
      </c>
      <c r="F28" s="27"/>
      <c r="G28" s="27"/>
      <c r="H28" s="27"/>
      <c r="I28" s="27"/>
      <c r="J28" s="28"/>
      <c r="K28" s="17"/>
    </row>
    <row r="29" spans="4:11" ht="15.75" thickBot="1" x14ac:dyDescent="0.3">
      <c r="D29" s="18" t="s">
        <v>64</v>
      </c>
      <c r="E29" s="30">
        <f>+E27+H27-E28</f>
        <v>250000000</v>
      </c>
      <c r="F29" s="31"/>
      <c r="G29" s="31"/>
      <c r="H29" s="31"/>
      <c r="I29" s="31"/>
      <c r="J29" s="32"/>
      <c r="K29" s="17"/>
    </row>
  </sheetData>
  <mergeCells count="15">
    <mergeCell ref="E28:J28"/>
    <mergeCell ref="E29:J29"/>
    <mergeCell ref="F25:G25"/>
    <mergeCell ref="H25:J25"/>
    <mergeCell ref="E26:G26"/>
    <mergeCell ref="H26:J26"/>
    <mergeCell ref="E27:G27"/>
    <mergeCell ref="H27:J27"/>
    <mergeCell ref="F24:G24"/>
    <mergeCell ref="H24:J24"/>
    <mergeCell ref="G12:H12"/>
    <mergeCell ref="I12:K12"/>
    <mergeCell ref="F13:H13"/>
    <mergeCell ref="I13:K13"/>
    <mergeCell ref="F14:K14"/>
  </mergeCells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ÁKFN gyakorló</vt:lpstr>
      <vt:lpstr>Többszintű direkt costing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Fehér-Polgár Pál</dc:creator>
  <cp:lastModifiedBy>Katona Ferenc</cp:lastModifiedBy>
  <cp:lastPrinted>2021-10-28T13:28:34Z</cp:lastPrinted>
  <dcterms:created xsi:type="dcterms:W3CDTF">2018-04-25T06:25:43Z</dcterms:created>
  <dcterms:modified xsi:type="dcterms:W3CDTF">2021-10-28T13:30:17Z</dcterms:modified>
</cp:coreProperties>
</file>