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entendo\000\munka\controlling18192\"/>
    </mc:Choice>
  </mc:AlternateContent>
  <bookViews>
    <workbookView xWindow="0" yWindow="0" windowWidth="20490" windowHeight="7350"/>
  </bookViews>
  <sheets>
    <sheet name="2.14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1" l="1"/>
  <c r="L13" i="1"/>
  <c r="M13" i="1"/>
  <c r="N19" i="1"/>
  <c r="N21" i="1" s="1"/>
  <c r="K24" i="1"/>
  <c r="L24" i="1"/>
  <c r="M24" i="1"/>
  <c r="K25" i="1"/>
  <c r="L25" i="1"/>
  <c r="M25" i="1"/>
  <c r="M31" i="1"/>
  <c r="M32" i="1"/>
  <c r="M34" i="1" s="1"/>
  <c r="M35" i="1"/>
  <c r="M39" i="1"/>
  <c r="K45" i="1"/>
  <c r="M45" i="1"/>
  <c r="T45" i="1"/>
  <c r="U45" i="1"/>
  <c r="U46" i="1" s="1"/>
  <c r="T46" i="1"/>
  <c r="T47" i="1"/>
  <c r="K49" i="1"/>
  <c r="M49" i="1"/>
  <c r="K53" i="1"/>
  <c r="M53" i="1" s="1"/>
  <c r="L58" i="1"/>
  <c r="M58" i="1"/>
  <c r="T58" i="1"/>
  <c r="U58" i="1"/>
  <c r="V58" i="1"/>
  <c r="K59" i="1"/>
  <c r="L59" i="1"/>
  <c r="L60" i="1" s="1"/>
  <c r="M59" i="1"/>
  <c r="M60" i="1" s="1"/>
  <c r="U59" i="1"/>
  <c r="V59" i="1"/>
  <c r="V60" i="1" s="1"/>
  <c r="U60" i="1"/>
  <c r="K61" i="1"/>
  <c r="L61" i="1"/>
  <c r="L62" i="1" s="1"/>
  <c r="M61" i="1"/>
  <c r="M62" i="1" s="1"/>
  <c r="U47" i="1" l="1"/>
  <c r="M36" i="1"/>
  <c r="K65" i="1"/>
  <c r="N22" i="1"/>
  <c r="M38" i="1"/>
  <c r="M40" i="1" s="1"/>
  <c r="K26" i="1" l="1"/>
  <c r="L26" i="1"/>
  <c r="M26" i="1"/>
  <c r="M47" i="1"/>
  <c r="M51" i="1" s="1"/>
  <c r="K55" i="1" s="1"/>
  <c r="T48" i="1"/>
  <c r="K58" i="1" l="1"/>
  <c r="M55" i="1"/>
  <c r="M63" i="1"/>
  <c r="M64" i="1" s="1"/>
  <c r="M27" i="1"/>
  <c r="M28" i="1" s="1"/>
  <c r="M29" i="1" s="1"/>
  <c r="L63" i="1"/>
  <c r="L64" i="1" s="1"/>
  <c r="L27" i="1"/>
  <c r="L28" i="1" s="1"/>
  <c r="S48" i="1"/>
  <c r="T59" i="1" s="1"/>
  <c r="T60" i="1" s="1"/>
  <c r="U48" i="1"/>
  <c r="K27" i="1"/>
  <c r="K28" i="1" s="1"/>
  <c r="K63" i="1"/>
  <c r="O63" i="1" s="1"/>
  <c r="L29" i="1" l="1"/>
  <c r="K29" i="1"/>
  <c r="K62" i="1"/>
  <c r="K60" i="1"/>
  <c r="K64" i="1" s="1"/>
  <c r="K66" i="1" l="1"/>
  <c r="O64" i="1"/>
</calcChain>
</file>

<file path=xl/sharedStrings.xml><?xml version="1.0" encoding="utf-8"?>
<sst xmlns="http://schemas.openxmlformats.org/spreadsheetml/2006/main" count="117" uniqueCount="70">
  <si>
    <t>Nyereség/üzemi fedezet</t>
  </si>
  <si>
    <t>Gépköltség fix rész</t>
  </si>
  <si>
    <t>Ft</t>
  </si>
  <si>
    <t>Fedezet:</t>
  </si>
  <si>
    <t>Gépköltség változó rész</t>
  </si>
  <si>
    <t>Közvetlen költség össz.</t>
  </si>
  <si>
    <t>Ft/db</t>
  </si>
  <si>
    <t>Közvetlen költség</t>
  </si>
  <si>
    <t>Összes Q=</t>
  </si>
  <si>
    <t>Árbevétel</t>
  </si>
  <si>
    <t>Kielégíthető piaci kereslet</t>
  </si>
  <si>
    <t>Eladási ár</t>
  </si>
  <si>
    <t>Szállítási kötelezettség</t>
  </si>
  <si>
    <t>db</t>
  </si>
  <si>
    <t>Termelés</t>
  </si>
  <si>
    <t>3.sz.t.</t>
  </si>
  <si>
    <t>2.sz.t.</t>
  </si>
  <si>
    <t>1.sz.t.</t>
  </si>
  <si>
    <t>Optimális termelési terv</t>
  </si>
  <si>
    <t>Termelt mennyiségek:</t>
  </si>
  <si>
    <t>nó</t>
  </si>
  <si>
    <t xml:space="preserve"> </t>
  </si>
  <si>
    <t>Ez már több, mint a fennmaradó normaóra mennyiség, így ezt a lehetőséget nem tudjuk kihasználni maximálisan, csak 15000/5 = 3000 db-ig</t>
  </si>
  <si>
    <t>1.sz.termék</t>
  </si>
  <si>
    <t>Fenn maradó normaóra mennyiség:</t>
  </si>
  <si>
    <t>2.sz.termék</t>
  </si>
  <si>
    <t>1.sz</t>
  </si>
  <si>
    <t>97000&gt;77000; szabadon felhasználható nó = 77000</t>
  </si>
  <si>
    <t>2.sz</t>
  </si>
  <si>
    <t>3.sz</t>
  </si>
  <si>
    <t>3.sz.termék</t>
  </si>
  <si>
    <t>Összes felhasznált nó</t>
  </si>
  <si>
    <t>Nó felhasználás</t>
  </si>
  <si>
    <t>Q</t>
  </si>
  <si>
    <t>nó igény</t>
  </si>
  <si>
    <t>T</t>
  </si>
  <si>
    <t>TR</t>
  </si>
  <si>
    <t>Piaci lehetőség</t>
  </si>
  <si>
    <t>Termék</t>
  </si>
  <si>
    <t>Max.77000</t>
  </si>
  <si>
    <t>A szabadon felhasználható normaórát, a fedezet maximalizása érdekében a termékrangsor alapján (1 normaórára eső fedezettermelő képesség alapján) osztjuk fel a piaci lehetőségek maximális kihasználásáig.</t>
  </si>
  <si>
    <t>Szabadon felhasználható normaóra:</t>
  </si>
  <si>
    <t>Lekötött normaóra:</t>
  </si>
  <si>
    <t>Tervidőszak normaóra felhasználása:</t>
  </si>
  <si>
    <t>Tervidőszak gépköltsége:</t>
  </si>
  <si>
    <t>Tervidőszak gépköltségének változó része:</t>
  </si>
  <si>
    <t>Tervidőszak gépköltségének fix része:</t>
  </si>
  <si>
    <t>Tény időszak gépköltségének fix része:</t>
  </si>
  <si>
    <t>Tény időszak gépköltségének változó része:</t>
  </si>
  <si>
    <t>Termékrangsor:</t>
  </si>
  <si>
    <t>Ft/nó</t>
  </si>
  <si>
    <t>Relatív fedezet:</t>
  </si>
  <si>
    <t>Fajlagos fedezet:</t>
  </si>
  <si>
    <t>Gépköltség változó része felosztva:</t>
  </si>
  <si>
    <t>Közvetlen költség:</t>
  </si>
  <si>
    <t>Eladási ár:</t>
  </si>
  <si>
    <r>
      <t xml:space="preserve">Terv időszak normaórájára eső </t>
    </r>
    <r>
      <rPr>
        <b/>
        <u/>
        <sz val="11"/>
        <rFont val="Calibri"/>
        <family val="2"/>
        <scheme val="minor"/>
      </rPr>
      <t>változógépktg</t>
    </r>
  </si>
  <si>
    <t>Egy normaórára eső költség:</t>
  </si>
  <si>
    <t>Összes felhasznált tény időszaki normaóra felhasználás:</t>
  </si>
  <si>
    <t>Termékrangsorhoz:</t>
  </si>
  <si>
    <t>Közvetlen költség növekedés</t>
  </si>
  <si>
    <t>Gépköltség reagálási foka</t>
  </si>
  <si>
    <t>Gépi kapacitás tervidőszaki növekedése</t>
  </si>
  <si>
    <t>Piaci kereslet</t>
  </si>
  <si>
    <t>Terv készítésére vonatkozó adatok</t>
  </si>
  <si>
    <t>Gépköltségek bázis időszaki összege</t>
  </si>
  <si>
    <t>nó/db</t>
  </si>
  <si>
    <t>Normaóra igény</t>
  </si>
  <si>
    <t>Közvetlen önköltség</t>
  </si>
  <si>
    <t>Termelés és értékesítés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</si>
</sst>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1" fillId="0" borderId="0" xfId="1"/>
    <xf numFmtId="0" fontId="1" fillId="0" borderId="1" xfId="1" applyBorder="1"/>
    <xf numFmtId="0" fontId="2" fillId="0" borderId="0" xfId="1" applyFont="1" applyBorder="1"/>
    <xf numFmtId="0" fontId="2" fillId="0" borderId="0" xfId="1" applyFont="1" applyBorder="1" applyAlignment="1">
      <alignment horizontal="center"/>
    </xf>
    <xf numFmtId="0" fontId="3" fillId="0" borderId="0" xfId="1" applyFont="1" applyBorder="1"/>
    <xf numFmtId="0" fontId="4" fillId="0" borderId="0" xfId="1" applyFont="1"/>
    <xf numFmtId="0" fontId="4" fillId="0" borderId="0" xfId="1" applyFont="1" applyAlignment="1">
      <alignment horizontal="center"/>
    </xf>
    <xf numFmtId="0" fontId="3" fillId="0" borderId="0" xfId="1" applyFont="1" applyBorder="1" applyAlignment="1"/>
    <xf numFmtId="0" fontId="4" fillId="0" borderId="0" xfId="1" applyFont="1" applyBorder="1"/>
    <xf numFmtId="0" fontId="1" fillId="0" borderId="0" xfId="1" applyBorder="1"/>
    <xf numFmtId="0" fontId="1" fillId="0" borderId="2" xfId="1" applyBorder="1"/>
    <xf numFmtId="0" fontId="1" fillId="0" borderId="2" xfId="1" applyFill="1" applyBorder="1"/>
    <xf numFmtId="0" fontId="1" fillId="0" borderId="0" xfId="1" applyFill="1" applyBorder="1"/>
    <xf numFmtId="0" fontId="1" fillId="2" borderId="0" xfId="1" applyFill="1" applyAlignment="1">
      <alignment horizontal="center"/>
    </xf>
    <xf numFmtId="0" fontId="1" fillId="2" borderId="0" xfId="1" applyFill="1"/>
    <xf numFmtId="0" fontId="5" fillId="0" borderId="0" xfId="1" applyFont="1"/>
    <xf numFmtId="0" fontId="5" fillId="0" borderId="0" xfId="1" applyFont="1" applyBorder="1"/>
    <xf numFmtId="1" fontId="2" fillId="0" borderId="0" xfId="1" applyNumberFormat="1" applyFont="1" applyBorder="1"/>
    <xf numFmtId="9" fontId="1" fillId="0" borderId="0" xfId="1" applyNumberFormat="1"/>
    <xf numFmtId="9" fontId="1" fillId="0" borderId="0" xfId="1" applyNumberFormat="1" applyBorder="1"/>
    <xf numFmtId="0" fontId="7" fillId="0" borderId="0" xfId="1" applyFont="1" applyBorder="1"/>
  </cellXfs>
  <cellStyles count="2">
    <cellStyle name="Normál" xfId="0" builtinId="0"/>
    <cellStyle name="Normá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85714" cy="3114286"/>
    <xdr:pic>
      <xdr:nvPicPr>
        <xdr:cNvPr id="2" name="Kép 1">
          <a:extLst>
            <a:ext uri="{FF2B5EF4-FFF2-40B4-BE49-F238E27FC236}">
              <a16:creationId xmlns:a16="http://schemas.microsoft.com/office/drawing/2014/main" id="{CEECB1A7-49BB-4C8F-8DD9-9181AADD6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285714" cy="3114286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16</xdr:row>
      <xdr:rowOff>76200</xdr:rowOff>
    </xdr:from>
    <xdr:ext cx="5028571" cy="2647619"/>
    <xdr:pic>
      <xdr:nvPicPr>
        <xdr:cNvPr id="3" name="Kép 2">
          <a:extLst>
            <a:ext uri="{FF2B5EF4-FFF2-40B4-BE49-F238E27FC236}">
              <a16:creationId xmlns:a16="http://schemas.microsoft.com/office/drawing/2014/main" id="{18D22A28-104C-4D55-A308-1EDDFD3E1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" y="2667000"/>
          <a:ext cx="5028571" cy="264761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47625</xdr:rowOff>
    </xdr:from>
    <xdr:ext cx="4552381" cy="1104762"/>
    <xdr:pic>
      <xdr:nvPicPr>
        <xdr:cNvPr id="4" name="Kép 3">
          <a:extLst>
            <a:ext uri="{FF2B5EF4-FFF2-40B4-BE49-F238E27FC236}">
              <a16:creationId xmlns:a16="http://schemas.microsoft.com/office/drawing/2014/main" id="{86B15F31-490D-436C-ADFF-A38EE404C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229225"/>
          <a:ext cx="4552381" cy="110476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1:Z66"/>
  <sheetViews>
    <sheetView tabSelected="1" topLeftCell="A30" workbookViewId="0">
      <selection activeCell="P43" sqref="P43:U48"/>
    </sheetView>
  </sheetViews>
  <sheetFormatPr defaultRowHeight="15" x14ac:dyDescent="0.25"/>
  <cols>
    <col min="1" max="9" width="9.140625" style="1"/>
    <col min="10" max="10" width="22.42578125" style="1" bestFit="1" customWidth="1"/>
    <col min="11" max="11" width="10.140625" style="1" bestFit="1" customWidth="1"/>
    <col min="12" max="13" width="10" style="1" bestFit="1" customWidth="1"/>
    <col min="14" max="14" width="9.5703125" style="1" bestFit="1" customWidth="1"/>
    <col min="15" max="15" width="12.5703125" style="1" customWidth="1"/>
    <col min="16" max="16" width="4.7109375" style="1" customWidth="1"/>
    <col min="17" max="17" width="6.5703125" style="1" customWidth="1"/>
    <col min="18" max="18" width="9" style="1" customWidth="1"/>
    <col min="19" max="19" width="6.7109375" style="1" customWidth="1"/>
    <col min="20" max="20" width="10.28515625" style="1" customWidth="1"/>
    <col min="21" max="16384" width="9.140625" style="1"/>
  </cols>
  <sheetData>
    <row r="1" spans="10:20" x14ac:dyDescent="0.25">
      <c r="J1" s="21"/>
      <c r="K1" s="10" t="s">
        <v>26</v>
      </c>
      <c r="L1" s="10" t="s">
        <v>28</v>
      </c>
      <c r="M1" s="10" t="s">
        <v>29</v>
      </c>
      <c r="N1" s="10"/>
      <c r="O1" s="2"/>
    </row>
    <row r="2" spans="10:20" x14ac:dyDescent="0.25">
      <c r="J2" s="10" t="s">
        <v>69</v>
      </c>
      <c r="K2" s="10">
        <v>15000</v>
      </c>
      <c r="L2" s="10">
        <v>23000</v>
      </c>
      <c r="M2" s="10">
        <v>9250</v>
      </c>
      <c r="N2" s="10" t="s">
        <v>13</v>
      </c>
      <c r="O2" s="2"/>
    </row>
    <row r="3" spans="10:20" x14ac:dyDescent="0.25">
      <c r="J3" s="10" t="s">
        <v>68</v>
      </c>
      <c r="K3" s="10">
        <v>3000</v>
      </c>
      <c r="L3" s="10">
        <v>2000</v>
      </c>
      <c r="M3" s="10">
        <v>3200</v>
      </c>
      <c r="N3" s="10" t="s">
        <v>6</v>
      </c>
      <c r="O3" s="2"/>
    </row>
    <row r="4" spans="10:20" x14ac:dyDescent="0.25">
      <c r="J4" s="10" t="s">
        <v>11</v>
      </c>
      <c r="K4" s="10">
        <v>10850</v>
      </c>
      <c r="L4" s="10">
        <v>11800</v>
      </c>
      <c r="M4" s="10">
        <v>9950</v>
      </c>
      <c r="N4" s="10" t="s">
        <v>6</v>
      </c>
      <c r="O4" s="2"/>
    </row>
    <row r="5" spans="10:20" x14ac:dyDescent="0.25">
      <c r="J5" s="10" t="s">
        <v>67</v>
      </c>
      <c r="K5" s="10">
        <v>5</v>
      </c>
      <c r="L5" s="10">
        <v>6</v>
      </c>
      <c r="M5" s="10">
        <v>4</v>
      </c>
      <c r="N5" s="10" t="s">
        <v>66</v>
      </c>
      <c r="O5" s="2"/>
    </row>
    <row r="6" spans="10:20" x14ac:dyDescent="0.25">
      <c r="J6" s="10"/>
      <c r="K6" s="10"/>
      <c r="L6" s="10"/>
      <c r="M6" s="10"/>
      <c r="N6" s="10"/>
      <c r="O6" s="2"/>
    </row>
    <row r="7" spans="10:20" x14ac:dyDescent="0.25">
      <c r="J7" s="10" t="s">
        <v>65</v>
      </c>
      <c r="K7" s="10"/>
      <c r="L7" s="10"/>
      <c r="M7" s="10">
        <v>84000000</v>
      </c>
      <c r="N7" s="10" t="s">
        <v>2</v>
      </c>
      <c r="O7" s="2"/>
    </row>
    <row r="8" spans="10:20" x14ac:dyDescent="0.25">
      <c r="J8" s="10"/>
      <c r="K8" s="10"/>
      <c r="L8" s="10"/>
      <c r="M8" s="10"/>
      <c r="N8" s="10"/>
      <c r="O8" s="2"/>
    </row>
    <row r="9" spans="10:20" x14ac:dyDescent="0.25">
      <c r="J9" s="10" t="s">
        <v>64</v>
      </c>
      <c r="K9" s="10"/>
      <c r="L9" s="10"/>
      <c r="M9" s="10"/>
      <c r="N9" s="10"/>
      <c r="O9" s="2"/>
    </row>
    <row r="10" spans="10:20" x14ac:dyDescent="0.25">
      <c r="J10" s="10"/>
      <c r="K10" s="10" t="s">
        <v>26</v>
      </c>
      <c r="L10" s="10" t="s">
        <v>28</v>
      </c>
      <c r="M10" s="10" t="s">
        <v>29</v>
      </c>
      <c r="N10" s="10"/>
      <c r="O10" s="2"/>
    </row>
    <row r="11" spans="10:20" x14ac:dyDescent="0.25">
      <c r="J11" s="10" t="s">
        <v>63</v>
      </c>
      <c r="K11" s="10">
        <v>22000</v>
      </c>
      <c r="L11" s="10">
        <v>25000</v>
      </c>
      <c r="M11" s="10">
        <v>15000</v>
      </c>
      <c r="N11" s="10" t="s">
        <v>13</v>
      </c>
      <c r="O11" s="2"/>
    </row>
    <row r="12" spans="10:20" x14ac:dyDescent="0.25">
      <c r="J12" s="10" t="s">
        <v>12</v>
      </c>
      <c r="K12" s="10">
        <v>15000</v>
      </c>
      <c r="L12" s="10">
        <v>18000</v>
      </c>
      <c r="M12" s="10">
        <v>10000</v>
      </c>
      <c r="N12" s="10" t="s">
        <v>13</v>
      </c>
      <c r="O12" s="2"/>
    </row>
    <row r="13" spans="10:20" x14ac:dyDescent="0.25">
      <c r="J13" s="13" t="s">
        <v>10</v>
      </c>
      <c r="K13" s="10">
        <f>K11-K12</f>
        <v>7000</v>
      </c>
      <c r="L13" s="10">
        <f>L11-L12</f>
        <v>7000</v>
      </c>
      <c r="M13" s="10">
        <f>M11-M12</f>
        <v>5000</v>
      </c>
      <c r="N13" s="10"/>
      <c r="O13" s="2"/>
    </row>
    <row r="14" spans="10:20" x14ac:dyDescent="0.25">
      <c r="J14" s="10" t="s">
        <v>62</v>
      </c>
      <c r="K14" s="10"/>
      <c r="L14" s="10"/>
      <c r="M14" s="20">
        <v>0.2</v>
      </c>
      <c r="N14" s="10"/>
      <c r="O14" s="2"/>
      <c r="T14" s="19"/>
    </row>
    <row r="15" spans="10:20" x14ac:dyDescent="0.25">
      <c r="J15" s="10" t="s">
        <v>61</v>
      </c>
      <c r="K15" s="10"/>
      <c r="L15" s="10"/>
      <c r="M15" s="10">
        <v>0.75</v>
      </c>
      <c r="N15" s="10"/>
      <c r="O15" s="2"/>
    </row>
    <row r="16" spans="10:20" x14ac:dyDescent="0.25">
      <c r="J16" s="10" t="s">
        <v>60</v>
      </c>
      <c r="K16" s="10"/>
      <c r="L16" s="10"/>
      <c r="M16" s="20">
        <v>0.08</v>
      </c>
      <c r="N16" s="10"/>
      <c r="O16" s="2"/>
      <c r="T16" s="19"/>
    </row>
    <row r="17" spans="10:15" x14ac:dyDescent="0.25">
      <c r="J17" s="10"/>
      <c r="K17" s="10"/>
      <c r="L17" s="10"/>
      <c r="M17" s="10"/>
      <c r="N17" s="10"/>
      <c r="O17" s="2"/>
    </row>
    <row r="18" spans="10:15" x14ac:dyDescent="0.25">
      <c r="J18" s="10" t="s">
        <v>59</v>
      </c>
      <c r="K18" s="10"/>
      <c r="L18" s="10"/>
      <c r="M18" s="10"/>
      <c r="N18" s="10"/>
      <c r="O18" s="2"/>
    </row>
    <row r="19" spans="10:15" x14ac:dyDescent="0.25">
      <c r="J19" s="10" t="s">
        <v>58</v>
      </c>
      <c r="K19" s="10"/>
      <c r="L19" s="10"/>
      <c r="M19" s="10"/>
      <c r="N19" s="10">
        <f>SUMPRODUCT(K2:M2,K5:M5)</f>
        <v>250000</v>
      </c>
      <c r="O19" s="2" t="s">
        <v>20</v>
      </c>
    </row>
    <row r="20" spans="10:15" x14ac:dyDescent="0.25">
      <c r="J20" s="10"/>
      <c r="K20" s="10"/>
      <c r="L20" s="10"/>
      <c r="M20" s="10"/>
      <c r="N20" s="10"/>
      <c r="O20" s="2"/>
    </row>
    <row r="21" spans="10:15" x14ac:dyDescent="0.25">
      <c r="J21" s="3" t="s">
        <v>57</v>
      </c>
      <c r="K21" s="3"/>
      <c r="L21" s="3"/>
      <c r="M21" s="3"/>
      <c r="N21" s="18">
        <f>M7/N19</f>
        <v>336</v>
      </c>
      <c r="O21" s="2" t="s">
        <v>50</v>
      </c>
    </row>
    <row r="22" spans="10:15" x14ac:dyDescent="0.25">
      <c r="J22" s="3" t="s">
        <v>56</v>
      </c>
      <c r="K22" s="3"/>
      <c r="L22" s="3"/>
      <c r="M22" s="3"/>
      <c r="N22" s="18">
        <f>M35/M38</f>
        <v>252</v>
      </c>
      <c r="O22" s="2"/>
    </row>
    <row r="23" spans="10:15" x14ac:dyDescent="0.25">
      <c r="J23" s="3"/>
      <c r="K23" s="3"/>
      <c r="L23" s="3"/>
      <c r="M23" s="3"/>
      <c r="N23" s="3"/>
      <c r="O23" s="2"/>
    </row>
    <row r="24" spans="10:15" x14ac:dyDescent="0.25">
      <c r="J24" s="3" t="s">
        <v>55</v>
      </c>
      <c r="K24" s="3">
        <f>K4</f>
        <v>10850</v>
      </c>
      <c r="L24" s="3">
        <f>L4</f>
        <v>11800</v>
      </c>
      <c r="M24" s="3">
        <f>M4</f>
        <v>9950</v>
      </c>
      <c r="N24" s="3" t="s">
        <v>6</v>
      </c>
      <c r="O24" s="2"/>
    </row>
    <row r="25" spans="10:15" x14ac:dyDescent="0.25">
      <c r="J25" s="3" t="s">
        <v>54</v>
      </c>
      <c r="K25" s="3">
        <f>K3*1.08</f>
        <v>3240</v>
      </c>
      <c r="L25" s="3">
        <f>L3*1.08</f>
        <v>2160</v>
      </c>
      <c r="M25" s="3">
        <f>M3*1.08</f>
        <v>3456</v>
      </c>
      <c r="N25" s="3" t="s">
        <v>6</v>
      </c>
      <c r="O25" s="2"/>
    </row>
    <row r="26" spans="10:15" x14ac:dyDescent="0.25">
      <c r="J26" s="3" t="s">
        <v>53</v>
      </c>
      <c r="K26" s="3">
        <f>$N$22*K5</f>
        <v>1260</v>
      </c>
      <c r="L26" s="3">
        <f>$N$22*L5</f>
        <v>1512</v>
      </c>
      <c r="M26" s="3">
        <f>$N$22*M5</f>
        <v>1008</v>
      </c>
      <c r="N26" s="3" t="s">
        <v>6</v>
      </c>
      <c r="O26" s="2"/>
    </row>
    <row r="27" spans="10:15" x14ac:dyDescent="0.25">
      <c r="J27" s="3" t="s">
        <v>52</v>
      </c>
      <c r="K27" s="3">
        <f>K24-K25-K26</f>
        <v>6350</v>
      </c>
      <c r="L27" s="3">
        <f>L24-L25-L26</f>
        <v>8128</v>
      </c>
      <c r="M27" s="3">
        <f>M24-M25-M26</f>
        <v>5486</v>
      </c>
      <c r="N27" s="3" t="s">
        <v>6</v>
      </c>
      <c r="O27" s="2"/>
    </row>
    <row r="28" spans="10:15" x14ac:dyDescent="0.25">
      <c r="J28" s="17" t="s">
        <v>51</v>
      </c>
      <c r="K28" s="17">
        <f>K27/K5</f>
        <v>1270</v>
      </c>
      <c r="L28" s="17">
        <f>L27/L5</f>
        <v>1354.6666666666667</v>
      </c>
      <c r="M28" s="17">
        <f>M27/M5</f>
        <v>1371.5</v>
      </c>
      <c r="N28" s="10" t="s">
        <v>50</v>
      </c>
      <c r="O28" s="2"/>
    </row>
    <row r="29" spans="10:15" x14ac:dyDescent="0.25">
      <c r="J29" s="17" t="s">
        <v>49</v>
      </c>
      <c r="K29" s="17">
        <f>_xlfn.RANK.EQ(K28,K28:M28)</f>
        <v>3</v>
      </c>
      <c r="L29" s="17">
        <f>_xlfn.RANK.EQ(L28,L28:N28)</f>
        <v>2</v>
      </c>
      <c r="M29" s="17">
        <f>_xlfn.RANK.EQ(M28,M28:O28)</f>
        <v>1</v>
      </c>
      <c r="N29" s="10"/>
      <c r="O29" s="2"/>
    </row>
    <row r="30" spans="10:15" x14ac:dyDescent="0.25">
      <c r="J30" s="10"/>
      <c r="K30" s="10"/>
      <c r="L30" s="10"/>
      <c r="M30" s="10"/>
      <c r="N30" s="10"/>
      <c r="O30" s="2"/>
    </row>
    <row r="31" spans="10:15" x14ac:dyDescent="0.25">
      <c r="J31" s="10" t="s">
        <v>48</v>
      </c>
      <c r="K31" s="10"/>
      <c r="L31" s="10"/>
      <c r="M31" s="10">
        <f>M7*M15</f>
        <v>63000000</v>
      </c>
      <c r="N31" s="10" t="s">
        <v>2</v>
      </c>
      <c r="O31" s="2"/>
    </row>
    <row r="32" spans="10:15" x14ac:dyDescent="0.25">
      <c r="J32" s="10" t="s">
        <v>47</v>
      </c>
      <c r="K32" s="10"/>
      <c r="L32" s="10"/>
      <c r="M32" s="10">
        <f>M7-M31</f>
        <v>21000000</v>
      </c>
      <c r="N32" s="10" t="s">
        <v>2</v>
      </c>
      <c r="O32" s="2"/>
    </row>
    <row r="33" spans="10:26" x14ac:dyDescent="0.25">
      <c r="J33" s="10"/>
      <c r="K33" s="10"/>
      <c r="L33" s="10"/>
      <c r="M33" s="10"/>
      <c r="N33" s="10"/>
      <c r="O33" s="2"/>
    </row>
    <row r="34" spans="10:26" x14ac:dyDescent="0.25">
      <c r="J34" s="10" t="s">
        <v>46</v>
      </c>
      <c r="K34" s="10"/>
      <c r="L34" s="10"/>
      <c r="M34" s="10">
        <f>M32</f>
        <v>21000000</v>
      </c>
      <c r="N34" s="10" t="s">
        <v>2</v>
      </c>
      <c r="O34" s="2"/>
    </row>
    <row r="35" spans="10:26" x14ac:dyDescent="0.25">
      <c r="J35" s="10" t="s">
        <v>45</v>
      </c>
      <c r="K35" s="10"/>
      <c r="L35" s="10"/>
      <c r="M35" s="10">
        <f>M31*(1+M14)</f>
        <v>75600000</v>
      </c>
      <c r="N35" s="10" t="s">
        <v>2</v>
      </c>
      <c r="O35" s="2"/>
    </row>
    <row r="36" spans="10:26" x14ac:dyDescent="0.25">
      <c r="J36" s="10" t="s">
        <v>44</v>
      </c>
      <c r="K36" s="10"/>
      <c r="L36" s="10"/>
      <c r="M36" s="10">
        <f>M34+M35</f>
        <v>96600000</v>
      </c>
      <c r="N36" s="10" t="s">
        <v>2</v>
      </c>
      <c r="O36" s="2"/>
    </row>
    <row r="37" spans="10:26" x14ac:dyDescent="0.25">
      <c r="J37" s="10"/>
      <c r="K37" s="10"/>
      <c r="L37" s="10"/>
      <c r="M37" s="10"/>
      <c r="N37" s="10"/>
      <c r="O37" s="2"/>
    </row>
    <row r="38" spans="10:26" x14ac:dyDescent="0.25">
      <c r="J38" s="10" t="s">
        <v>43</v>
      </c>
      <c r="K38" s="10"/>
      <c r="L38" s="10"/>
      <c r="M38" s="10">
        <f>N19*(1+M14)</f>
        <v>300000</v>
      </c>
      <c r="N38" s="10" t="s">
        <v>20</v>
      </c>
      <c r="O38" s="2"/>
    </row>
    <row r="39" spans="10:26" x14ac:dyDescent="0.25">
      <c r="J39" s="10" t="s">
        <v>42</v>
      </c>
      <c r="K39" s="10"/>
      <c r="L39" s="10"/>
      <c r="M39" s="10">
        <f>SUMPRODUCT(K12:M12,K5:M5)</f>
        <v>223000</v>
      </c>
      <c r="N39" s="10" t="s">
        <v>20</v>
      </c>
      <c r="O39" s="2"/>
    </row>
    <row r="40" spans="10:26" x14ac:dyDescent="0.25">
      <c r="J40" s="10" t="s">
        <v>41</v>
      </c>
      <c r="K40" s="10"/>
      <c r="L40" s="10"/>
      <c r="M40" s="10">
        <f>M38-M39</f>
        <v>77000</v>
      </c>
      <c r="N40" s="10" t="s">
        <v>20</v>
      </c>
      <c r="O40" s="2"/>
    </row>
    <row r="41" spans="10:26" x14ac:dyDescent="0.25">
      <c r="J41" s="10"/>
      <c r="K41" s="10"/>
      <c r="L41" s="10"/>
      <c r="M41" s="10"/>
      <c r="N41" s="10"/>
      <c r="O41" s="2"/>
    </row>
    <row r="42" spans="10:26" x14ac:dyDescent="0.25">
      <c r="J42" s="10" t="s">
        <v>40</v>
      </c>
      <c r="K42" s="10"/>
      <c r="L42" s="10"/>
      <c r="M42" s="10"/>
      <c r="N42" s="10"/>
      <c r="O42" s="2"/>
    </row>
    <row r="43" spans="10:26" x14ac:dyDescent="0.25">
      <c r="J43" s="10"/>
      <c r="K43" s="10"/>
      <c r="L43" s="10"/>
      <c r="M43" s="10"/>
      <c r="N43" s="10"/>
      <c r="O43" s="2"/>
      <c r="U43" s="1" t="s">
        <v>39</v>
      </c>
    </row>
    <row r="44" spans="10:26" x14ac:dyDescent="0.25">
      <c r="J44" s="10" t="s">
        <v>38</v>
      </c>
      <c r="K44" s="10" t="s">
        <v>37</v>
      </c>
      <c r="L44" s="10"/>
      <c r="M44" s="10"/>
      <c r="N44" s="10"/>
      <c r="O44" s="2"/>
      <c r="P44" s="16" t="s">
        <v>36</v>
      </c>
      <c r="Q44" s="1" t="s">
        <v>35</v>
      </c>
      <c r="R44" s="1" t="s">
        <v>34</v>
      </c>
      <c r="S44" s="1" t="s">
        <v>33</v>
      </c>
      <c r="T44" s="1" t="s">
        <v>32</v>
      </c>
      <c r="U44" s="1" t="s">
        <v>31</v>
      </c>
    </row>
    <row r="45" spans="10:26" x14ac:dyDescent="0.25">
      <c r="J45" s="10" t="s">
        <v>30</v>
      </c>
      <c r="K45" s="10">
        <f>M11-M12</f>
        <v>5000</v>
      </c>
      <c r="L45" s="10" t="s">
        <v>13</v>
      </c>
      <c r="M45" s="10">
        <f>K45*M5</f>
        <v>20000</v>
      </c>
      <c r="N45" s="10" t="s">
        <v>20</v>
      </c>
      <c r="O45" s="2"/>
      <c r="P45" s="16">
        <v>1</v>
      </c>
      <c r="Q45" s="1" t="s">
        <v>29</v>
      </c>
      <c r="R45" s="1">
        <v>4</v>
      </c>
      <c r="S45" s="1">
        <v>5000</v>
      </c>
      <c r="T45" s="1">
        <f>R45*S45</f>
        <v>20000</v>
      </c>
      <c r="U45" s="1">
        <f>T45</f>
        <v>20000</v>
      </c>
    </row>
    <row r="46" spans="10:26" x14ac:dyDescent="0.25">
      <c r="J46" s="10"/>
      <c r="K46" s="10"/>
      <c r="L46" s="10"/>
      <c r="M46" s="10"/>
      <c r="N46" s="10"/>
      <c r="O46" s="2"/>
      <c r="P46" s="16">
        <v>2</v>
      </c>
      <c r="Q46" s="1" t="s">
        <v>28</v>
      </c>
      <c r="R46" s="1">
        <v>6</v>
      </c>
      <c r="S46" s="1">
        <v>7000</v>
      </c>
      <c r="T46" s="1">
        <f>R46*S46</f>
        <v>42000</v>
      </c>
      <c r="U46" s="1">
        <f>U45+T46</f>
        <v>62000</v>
      </c>
    </row>
    <row r="47" spans="10:26" x14ac:dyDescent="0.25">
      <c r="J47" s="10" t="s">
        <v>24</v>
      </c>
      <c r="K47" s="10"/>
      <c r="L47" s="10"/>
      <c r="M47" s="10">
        <f>M40-M45</f>
        <v>57000</v>
      </c>
      <c r="N47" s="10" t="s">
        <v>20</v>
      </c>
      <c r="O47" s="2"/>
      <c r="P47" s="16">
        <v>3</v>
      </c>
      <c r="Q47" s="1" t="s">
        <v>26</v>
      </c>
      <c r="R47" s="1">
        <v>5</v>
      </c>
      <c r="S47" s="15">
        <v>7000</v>
      </c>
      <c r="T47" s="15">
        <f>R47*S47</f>
        <v>35000</v>
      </c>
      <c r="U47" s="15">
        <f>U46+T47</f>
        <v>97000</v>
      </c>
      <c r="V47" s="14" t="s">
        <v>27</v>
      </c>
      <c r="W47" s="14"/>
      <c r="X47" s="14"/>
      <c r="Y47" s="14"/>
      <c r="Z47" s="14"/>
    </row>
    <row r="48" spans="10:26" x14ac:dyDescent="0.25">
      <c r="J48" s="10"/>
      <c r="K48" s="10"/>
      <c r="L48" s="10"/>
      <c r="M48" s="10"/>
      <c r="N48" s="10"/>
      <c r="O48" s="2"/>
      <c r="Q48" s="1" t="s">
        <v>26</v>
      </c>
      <c r="R48" s="1">
        <v>5</v>
      </c>
      <c r="S48" s="1">
        <f>T48/R48</f>
        <v>3000</v>
      </c>
      <c r="T48" s="1">
        <f>M40-U46</f>
        <v>15000</v>
      </c>
      <c r="U48" s="1">
        <f>U46+T48</f>
        <v>77000</v>
      </c>
    </row>
    <row r="49" spans="10:22" x14ac:dyDescent="0.25">
      <c r="J49" s="10" t="s">
        <v>25</v>
      </c>
      <c r="K49" s="10">
        <f>L11-L12</f>
        <v>7000</v>
      </c>
      <c r="L49" s="10" t="s">
        <v>13</v>
      </c>
      <c r="M49" s="10">
        <f>K49*L5</f>
        <v>42000</v>
      </c>
      <c r="N49" s="10" t="s">
        <v>20</v>
      </c>
      <c r="O49" s="2"/>
    </row>
    <row r="50" spans="10:22" x14ac:dyDescent="0.25">
      <c r="J50" s="10"/>
      <c r="K50" s="10"/>
      <c r="L50" s="10"/>
      <c r="M50" s="10"/>
      <c r="N50" s="10"/>
      <c r="O50" s="2"/>
    </row>
    <row r="51" spans="10:22" x14ac:dyDescent="0.25">
      <c r="J51" s="10" t="s">
        <v>24</v>
      </c>
      <c r="K51" s="10"/>
      <c r="L51" s="10"/>
      <c r="M51" s="10">
        <f>M47-M49</f>
        <v>15000</v>
      </c>
      <c r="N51" s="10" t="s">
        <v>20</v>
      </c>
      <c r="O51" s="2"/>
    </row>
    <row r="52" spans="10:22" x14ac:dyDescent="0.25">
      <c r="J52" s="10"/>
      <c r="K52" s="10"/>
      <c r="L52" s="10"/>
      <c r="M52" s="10"/>
      <c r="N52" s="10"/>
      <c r="O52" s="2"/>
    </row>
    <row r="53" spans="10:22" x14ac:dyDescent="0.25">
      <c r="J53" s="10" t="s">
        <v>23</v>
      </c>
      <c r="K53" s="10">
        <f>K11-K12</f>
        <v>7000</v>
      </c>
      <c r="L53" s="10" t="s">
        <v>13</v>
      </c>
      <c r="M53" s="10">
        <f>K53*K5</f>
        <v>35000</v>
      </c>
      <c r="N53" s="10" t="s">
        <v>20</v>
      </c>
      <c r="O53" s="2" t="s">
        <v>22</v>
      </c>
      <c r="P53" s="13" t="s">
        <v>21</v>
      </c>
    </row>
    <row r="54" spans="10:22" x14ac:dyDescent="0.25">
      <c r="J54" s="10"/>
      <c r="K54" s="10"/>
      <c r="L54" s="10"/>
      <c r="M54" s="10"/>
      <c r="N54" s="10"/>
      <c r="O54" s="2"/>
    </row>
    <row r="55" spans="10:22" x14ac:dyDescent="0.25">
      <c r="J55" s="10"/>
      <c r="K55" s="10">
        <f>M51/K5</f>
        <v>3000</v>
      </c>
      <c r="L55" s="10" t="s">
        <v>13</v>
      </c>
      <c r="M55" s="10">
        <f>K55*K5</f>
        <v>15000</v>
      </c>
      <c r="N55" s="10" t="s">
        <v>20</v>
      </c>
      <c r="O55" s="2"/>
    </row>
    <row r="56" spans="10:22" x14ac:dyDescent="0.25">
      <c r="J56" s="10"/>
      <c r="K56" s="10"/>
      <c r="L56" s="10"/>
      <c r="M56" s="10"/>
      <c r="N56" s="10"/>
      <c r="O56" s="2"/>
      <c r="Q56" s="1" t="s">
        <v>19</v>
      </c>
    </row>
    <row r="57" spans="10:22" x14ac:dyDescent="0.25">
      <c r="J57" s="10" t="s">
        <v>18</v>
      </c>
      <c r="K57" s="10" t="s">
        <v>17</v>
      </c>
      <c r="L57" s="10" t="s">
        <v>16</v>
      </c>
      <c r="M57" s="10" t="s">
        <v>15</v>
      </c>
      <c r="N57" s="10"/>
      <c r="O57" s="2"/>
      <c r="T57" s="10" t="s">
        <v>17</v>
      </c>
      <c r="U57" s="10" t="s">
        <v>16</v>
      </c>
      <c r="V57" s="10" t="s">
        <v>15</v>
      </c>
    </row>
    <row r="58" spans="10:22" x14ac:dyDescent="0.25">
      <c r="J58" s="10" t="s">
        <v>14</v>
      </c>
      <c r="K58" s="10">
        <f>K55+K12</f>
        <v>18000</v>
      </c>
      <c r="L58" s="10">
        <f>K49+L12</f>
        <v>25000</v>
      </c>
      <c r="M58" s="10">
        <f>K45+M12</f>
        <v>15000</v>
      </c>
      <c r="N58" s="10" t="s">
        <v>13</v>
      </c>
      <c r="O58" s="2"/>
      <c r="Q58" s="10" t="s">
        <v>12</v>
      </c>
      <c r="R58" s="10"/>
      <c r="S58" s="10"/>
      <c r="T58" s="10">
        <f>K12</f>
        <v>15000</v>
      </c>
      <c r="U58" s="10">
        <f>L12</f>
        <v>18000</v>
      </c>
      <c r="V58" s="10">
        <f>M12</f>
        <v>10000</v>
      </c>
    </row>
    <row r="59" spans="10:22" x14ac:dyDescent="0.25">
      <c r="J59" s="10" t="s">
        <v>11</v>
      </c>
      <c r="K59" s="10">
        <f>K4</f>
        <v>10850</v>
      </c>
      <c r="L59" s="10">
        <f>L4</f>
        <v>11800</v>
      </c>
      <c r="M59" s="10">
        <f>M4</f>
        <v>9950</v>
      </c>
      <c r="N59" s="10" t="s">
        <v>6</v>
      </c>
      <c r="O59" s="2"/>
      <c r="Q59" s="12" t="s">
        <v>10</v>
      </c>
      <c r="R59" s="11"/>
      <c r="S59" s="11"/>
      <c r="T59" s="11">
        <f>S48</f>
        <v>3000</v>
      </c>
      <c r="U59" s="11">
        <f>S46</f>
        <v>7000</v>
      </c>
      <c r="V59" s="11">
        <f>S45</f>
        <v>5000</v>
      </c>
    </row>
    <row r="60" spans="10:22" x14ac:dyDescent="0.25">
      <c r="J60" s="9" t="s">
        <v>9</v>
      </c>
      <c r="K60" s="9">
        <f>K58*K59</f>
        <v>195300000</v>
      </c>
      <c r="L60" s="9">
        <f>L58*L59</f>
        <v>295000000</v>
      </c>
      <c r="M60" s="9">
        <f>M58*M59</f>
        <v>149250000</v>
      </c>
      <c r="N60" s="9" t="s">
        <v>2</v>
      </c>
      <c r="O60" s="2"/>
      <c r="P60" s="6"/>
      <c r="Q60" s="6" t="s">
        <v>8</v>
      </c>
      <c r="R60" s="6"/>
      <c r="S60" s="6"/>
      <c r="T60" s="6">
        <f>SUM(T58:T59)</f>
        <v>18000</v>
      </c>
      <c r="U60" s="6">
        <f>SUM(U58:U59)</f>
        <v>25000</v>
      </c>
      <c r="V60" s="6">
        <f>SUM(V58:V59)</f>
        <v>15000</v>
      </c>
    </row>
    <row r="61" spans="10:22" x14ac:dyDescent="0.25">
      <c r="J61" s="10" t="s">
        <v>7</v>
      </c>
      <c r="K61" s="10">
        <f>K3*(1+$M$16)</f>
        <v>3240</v>
      </c>
      <c r="L61" s="10">
        <f>L3*(1+$M$16)</f>
        <v>2160</v>
      </c>
      <c r="M61" s="10">
        <f>M3*(1+$M$16)</f>
        <v>3456</v>
      </c>
      <c r="N61" s="10" t="s">
        <v>6</v>
      </c>
      <c r="O61" s="2"/>
    </row>
    <row r="62" spans="10:22" x14ac:dyDescent="0.25">
      <c r="J62" s="9" t="s">
        <v>5</v>
      </c>
      <c r="K62" s="9">
        <f>K58*K61</f>
        <v>58320000</v>
      </c>
      <c r="L62" s="9">
        <f>L58*L61</f>
        <v>54000000</v>
      </c>
      <c r="M62" s="9">
        <f>M58*M61</f>
        <v>51840000</v>
      </c>
      <c r="N62" s="9" t="s">
        <v>2</v>
      </c>
      <c r="O62" s="2"/>
      <c r="P62" s="6"/>
      <c r="Q62" s="6"/>
      <c r="R62" s="6"/>
      <c r="S62" s="6"/>
      <c r="T62" s="6"/>
      <c r="U62" s="6"/>
    </row>
    <row r="63" spans="10:22" x14ac:dyDescent="0.25">
      <c r="J63" s="5" t="s">
        <v>4</v>
      </c>
      <c r="K63" s="8">
        <f>K26*K58</f>
        <v>22680000</v>
      </c>
      <c r="L63" s="8">
        <f>L26*L58</f>
        <v>37800000</v>
      </c>
      <c r="M63" s="8">
        <f>M26*M58</f>
        <v>15120000</v>
      </c>
      <c r="N63" s="5" t="s">
        <v>2</v>
      </c>
      <c r="O63" s="2">
        <f>SUM(K63:M63)</f>
        <v>75600000</v>
      </c>
      <c r="P63" s="6"/>
      <c r="Q63" s="7"/>
      <c r="R63" s="7"/>
      <c r="S63" s="7"/>
      <c r="T63" s="7"/>
      <c r="U63" s="6"/>
    </row>
    <row r="64" spans="10:22" x14ac:dyDescent="0.25">
      <c r="J64" s="5" t="s">
        <v>3</v>
      </c>
      <c r="K64" s="8">
        <f>K60-K62-K63</f>
        <v>114300000</v>
      </c>
      <c r="L64" s="8">
        <f>L60-L62-L63</f>
        <v>203200000</v>
      </c>
      <c r="M64" s="8">
        <f>M60-M62-M63</f>
        <v>82290000</v>
      </c>
      <c r="N64" s="5" t="s">
        <v>2</v>
      </c>
      <c r="O64" s="2">
        <f>SUM(K64:M64)</f>
        <v>399790000</v>
      </c>
      <c r="P64" s="6"/>
      <c r="Q64" s="7"/>
      <c r="R64" s="7"/>
      <c r="S64" s="7"/>
      <c r="T64" s="7"/>
      <c r="U64" s="6"/>
    </row>
    <row r="65" spans="10:15" x14ac:dyDescent="0.25">
      <c r="J65" s="5" t="s">
        <v>1</v>
      </c>
      <c r="K65" s="4">
        <f>M34</f>
        <v>21000000</v>
      </c>
      <c r="L65" s="4"/>
      <c r="M65" s="4"/>
      <c r="N65" s="3"/>
      <c r="O65" s="2"/>
    </row>
    <row r="66" spans="10:15" x14ac:dyDescent="0.25">
      <c r="J66" s="5" t="s">
        <v>0</v>
      </c>
      <c r="K66" s="4">
        <f>K64+L64+M64-K65</f>
        <v>378790000</v>
      </c>
      <c r="L66" s="4"/>
      <c r="M66" s="4"/>
      <c r="N66" s="3"/>
      <c r="O66" s="2"/>
    </row>
  </sheetData>
  <mergeCells count="5">
    <mergeCell ref="Q63:T63"/>
    <mergeCell ref="Q64:T64"/>
    <mergeCell ref="K65:M65"/>
    <mergeCell ref="K66:M66"/>
    <mergeCell ref="V47:Z4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2.14.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oktato</dc:creator>
  <cp:lastModifiedBy>oktato</cp:lastModifiedBy>
  <dcterms:created xsi:type="dcterms:W3CDTF">2019-09-11T12:54:24Z</dcterms:created>
  <dcterms:modified xsi:type="dcterms:W3CDTF">2019-09-11T13:05:34Z</dcterms:modified>
</cp:coreProperties>
</file>