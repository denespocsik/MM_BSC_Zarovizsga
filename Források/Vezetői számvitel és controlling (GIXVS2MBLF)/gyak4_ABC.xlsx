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ntrolling\"/>
    </mc:Choice>
  </mc:AlternateContent>
  <bookViews>
    <workbookView xWindow="0" yWindow="0" windowWidth="20490" windowHeight="7350" activeTab="1"/>
  </bookViews>
  <sheets>
    <sheet name="ABC" sheetId="6" r:id="rId1"/>
    <sheet name="ABC megoldás2" sheetId="8" r:id="rId2"/>
  </sheets>
  <calcPr calcId="162913"/>
</workbook>
</file>

<file path=xl/calcChain.xml><?xml version="1.0" encoding="utf-8"?>
<calcChain xmlns="http://schemas.openxmlformats.org/spreadsheetml/2006/main">
  <c r="L19" i="8" l="1"/>
  <c r="L20" i="8"/>
  <c r="L21" i="8"/>
  <c r="L22" i="8"/>
  <c r="L18" i="8"/>
  <c r="G22" i="8" l="1"/>
  <c r="E22" i="8" s="1"/>
  <c r="C22" i="8"/>
  <c r="G21" i="8"/>
  <c r="E21" i="8" s="1"/>
  <c r="C21" i="8"/>
  <c r="G20" i="8"/>
  <c r="E20" i="8"/>
  <c r="D20" i="8"/>
  <c r="F20" i="8" s="1"/>
  <c r="C20" i="8"/>
  <c r="C10" i="8"/>
  <c r="E9" i="8"/>
  <c r="D9" i="8"/>
  <c r="E8" i="8"/>
  <c r="D8" i="8"/>
  <c r="C8" i="8"/>
  <c r="E7" i="8"/>
  <c r="D7" i="8"/>
  <c r="G7" i="8" s="1"/>
  <c r="G19" i="8" s="1"/>
  <c r="C7" i="8"/>
  <c r="E6" i="8"/>
  <c r="E10" i="8" s="1"/>
  <c r="D6" i="8"/>
  <c r="G6" i="8" s="1"/>
  <c r="G18" i="8" s="1"/>
  <c r="C6" i="8"/>
  <c r="D19" i="8" l="1"/>
  <c r="C19" i="8"/>
  <c r="E19" i="8"/>
  <c r="F21" i="8"/>
  <c r="E18" i="8"/>
  <c r="E23" i="8" s="1"/>
  <c r="E25" i="8" s="1"/>
  <c r="E26" i="8" s="1"/>
  <c r="D18" i="8"/>
  <c r="C18" i="8"/>
  <c r="E12" i="8"/>
  <c r="E13" i="8" s="1"/>
  <c r="E14" i="8" s="1"/>
  <c r="C12" i="8"/>
  <c r="F12" i="8" s="1"/>
  <c r="C13" i="8"/>
  <c r="C14" i="8" s="1"/>
  <c r="D12" i="8"/>
  <c r="D10" i="8"/>
  <c r="D21" i="8"/>
  <c r="D22" i="8"/>
  <c r="F22" i="8" s="1"/>
  <c r="D13" i="8" l="1"/>
  <c r="D14" i="8" s="1"/>
  <c r="F19" i="8"/>
  <c r="D23" i="8"/>
  <c r="D25" i="8" s="1"/>
  <c r="D26" i="8" s="1"/>
  <c r="C23" i="8"/>
  <c r="F18" i="8"/>
  <c r="F23" i="8" l="1"/>
  <c r="C25" i="8"/>
  <c r="C26" i="8" s="1"/>
  <c r="AB22" i="6" l="1"/>
  <c r="AB23" i="6"/>
  <c r="AB24" i="6"/>
  <c r="AB25" i="6"/>
  <c r="AB21" i="6"/>
  <c r="P8" i="6" l="1"/>
  <c r="O33" i="6" s="1"/>
  <c r="P37" i="6" s="1"/>
  <c r="AA8" i="6"/>
  <c r="U21" i="6" s="1"/>
  <c r="AA9" i="6"/>
  <c r="AA10" i="6"/>
  <c r="AA11" i="6"/>
  <c r="U24" i="6" s="1"/>
  <c r="O12" i="6"/>
  <c r="O16" i="6" s="1"/>
  <c r="AA12" i="6"/>
  <c r="AA25" i="6" s="1"/>
  <c r="O13" i="6"/>
  <c r="O14" i="6"/>
  <c r="O15" i="6"/>
  <c r="P15" i="6" s="1"/>
  <c r="P16" i="6" s="1"/>
  <c r="U17" i="6"/>
  <c r="AA17" i="6"/>
  <c r="AA26" i="6" s="1"/>
  <c r="U18" i="6"/>
  <c r="AA18" i="6"/>
  <c r="U19" i="6"/>
  <c r="AA19" i="6"/>
  <c r="O20" i="6"/>
  <c r="U20" i="6"/>
  <c r="AA20" i="6"/>
  <c r="O21" i="6"/>
  <c r="O25" i="6" s="1"/>
  <c r="AA21" i="6"/>
  <c r="O22" i="6"/>
  <c r="U22" i="6"/>
  <c r="V22" i="6"/>
  <c r="AA22" i="6"/>
  <c r="O23" i="6"/>
  <c r="U23" i="6"/>
  <c r="V23" i="6" s="1"/>
  <c r="AA23" i="6"/>
  <c r="O24" i="6"/>
  <c r="P24" i="6" s="1"/>
  <c r="P25" i="6" s="1"/>
  <c r="AA24" i="6"/>
  <c r="U25" i="6"/>
  <c r="V25" i="6" s="1"/>
  <c r="O30" i="6"/>
  <c r="O34" i="6" s="1"/>
  <c r="O31" i="6"/>
  <c r="U31" i="6"/>
  <c r="O32" i="6"/>
  <c r="U32" i="6"/>
  <c r="P33" i="6"/>
  <c r="U33" i="6"/>
  <c r="P34" i="6"/>
  <c r="U34" i="6"/>
  <c r="AA35" i="6"/>
  <c r="U36" i="6"/>
  <c r="AA34" i="6" s="1"/>
  <c r="U37" i="6"/>
  <c r="V37" i="6" s="1"/>
  <c r="U38" i="6"/>
  <c r="V38" i="6" s="1"/>
  <c r="V21" i="6" l="1"/>
  <c r="V26" i="6" s="1"/>
  <c r="U26" i="6"/>
  <c r="AB26" i="6"/>
  <c r="V24" i="6"/>
  <c r="AA36" i="6"/>
  <c r="AA37" i="6"/>
  <c r="U39" i="6"/>
  <c r="V39" i="6" s="1"/>
  <c r="V36" i="6"/>
  <c r="U35" i="6"/>
  <c r="V35" i="6" l="1"/>
  <c r="V40" i="6" s="1"/>
  <c r="U40" i="6"/>
  <c r="AA33" i="6"/>
  <c r="AA31" i="6" s="1"/>
</calcChain>
</file>

<file path=xl/sharedStrings.xml><?xml version="1.0" encoding="utf-8"?>
<sst xmlns="http://schemas.openxmlformats.org/spreadsheetml/2006/main" count="140" uniqueCount="63">
  <si>
    <t>Összesen</t>
  </si>
  <si>
    <t>Ft/db</t>
  </si>
  <si>
    <t>B termék önköltsége</t>
  </si>
  <si>
    <t>értékesítés költségei</t>
  </si>
  <si>
    <t>termeléstervezés</t>
  </si>
  <si>
    <t>karbantartás</t>
  </si>
  <si>
    <t>Általános költségek ellenőrzés</t>
  </si>
  <si>
    <t>bér és munkaügyi admin</t>
  </si>
  <si>
    <t>anyagmozgatási költség</t>
  </si>
  <si>
    <t>Egyéb költségek</t>
  </si>
  <si>
    <t>C termék önköltsége</t>
  </si>
  <si>
    <t>Értékcsökenés</t>
  </si>
  <si>
    <t>Általános költségek</t>
  </si>
  <si>
    <t>bérköltség</t>
  </si>
  <si>
    <t>anyagköltség</t>
  </si>
  <si>
    <t>B termék könköltsége</t>
  </si>
  <si>
    <t>A termék önköltsége</t>
  </si>
  <si>
    <t>C termék könköltsége</t>
  </si>
  <si>
    <t>A termék könköltsége</t>
  </si>
  <si>
    <t>20000/(1+5+1) =</t>
  </si>
  <si>
    <t>130000/(2+3+2) =</t>
  </si>
  <si>
    <t>110000/(1*1000+2*1000+4*10000) =</t>
  </si>
  <si>
    <t>80000/(100000*1000+200000*1000+110000*10000) =</t>
  </si>
  <si>
    <t>60000/(80000*1000+150000*1000+70000*10000) =</t>
  </si>
  <si>
    <t>400000000/(100000*1000+200000*1000+110000*10000) =</t>
  </si>
  <si>
    <t>vetítési alapok</t>
  </si>
  <si>
    <t>vetítési alap a közvetlen bér</t>
  </si>
  <si>
    <t>ABC</t>
  </si>
  <si>
    <t>Hagyományos számítás</t>
  </si>
  <si>
    <t>Közvetett költság</t>
  </si>
  <si>
    <t>Q</t>
  </si>
  <si>
    <t>db</t>
  </si>
  <si>
    <t>A termék költségei</t>
  </si>
  <si>
    <t>B termék költségei</t>
  </si>
  <si>
    <t>C termék költségei</t>
  </si>
  <si>
    <t>A termék önkölt-sége</t>
  </si>
  <si>
    <t>B termék önkölt-sége</t>
  </si>
  <si>
    <t>C termék önkölt-sége</t>
  </si>
  <si>
    <t>FT</t>
  </si>
  <si>
    <t>Egyéb költség</t>
  </si>
  <si>
    <t>Közvetlen költségek összesen:</t>
  </si>
  <si>
    <t>Hagyományos (Vetítési alap a bérktg)</t>
  </si>
  <si>
    <t>Költségek összesen: (ft)</t>
  </si>
  <si>
    <t>Önköltség (ft/db)</t>
  </si>
  <si>
    <t>Q=</t>
  </si>
  <si>
    <t xml:space="preserve">ABC    </t>
  </si>
  <si>
    <t>Közvetett költségek</t>
  </si>
  <si>
    <r>
      <rPr>
        <b/>
        <sz val="11"/>
        <color rgb="FFFF0000"/>
        <rFont val="Calibri"/>
        <family val="2"/>
        <charset val="238"/>
        <scheme val="minor"/>
      </rPr>
      <t>(közvetettktg</t>
    </r>
    <r>
      <rPr>
        <b/>
        <sz val="11"/>
        <color theme="1"/>
        <rFont val="Calibri"/>
        <family val="2"/>
        <charset val="238"/>
        <scheme val="minor"/>
      </rPr>
      <t xml:space="preserve"> /         </t>
    </r>
    <r>
      <rPr>
        <b/>
        <sz val="11"/>
        <color theme="7" tint="-0.499984740745262"/>
        <rFont val="Calibri"/>
        <family val="2"/>
        <charset val="238"/>
        <scheme val="minor"/>
      </rPr>
      <t xml:space="preserve">össz.vetítésialap)*        </t>
    </r>
    <r>
      <rPr>
        <b/>
        <sz val="11"/>
        <color rgb="FF7030A0"/>
        <rFont val="Calibri"/>
        <family val="2"/>
        <charset val="238"/>
        <scheme val="minor"/>
      </rPr>
      <t xml:space="preserve">vetítésialap_Xterméknél </t>
    </r>
    <r>
      <rPr>
        <b/>
        <sz val="11"/>
        <color theme="7" tint="-0.499984740745262"/>
        <rFont val="Calibri"/>
        <family val="2"/>
        <charset val="238"/>
        <scheme val="minor"/>
      </rPr>
      <t xml:space="preserve">    </t>
    </r>
    <r>
      <rPr>
        <b/>
        <sz val="11"/>
        <color theme="1"/>
        <rFont val="Calibri"/>
        <family val="2"/>
        <charset val="238"/>
        <scheme val="minor"/>
      </rPr>
      <t xml:space="preserve"> (anyagmozg:)</t>
    </r>
  </si>
  <si>
    <r>
      <t>(</t>
    </r>
    <r>
      <rPr>
        <sz val="12"/>
        <color rgb="FFFF0000"/>
        <rFont val="Calibri"/>
        <family val="2"/>
        <charset val="238"/>
        <scheme val="minor"/>
      </rPr>
      <t>60000000</t>
    </r>
    <r>
      <rPr>
        <sz val="12"/>
        <color theme="1"/>
        <rFont val="Calibri"/>
        <family val="2"/>
        <charset val="238"/>
        <scheme val="minor"/>
      </rPr>
      <t xml:space="preserve"> /</t>
    </r>
    <r>
      <rPr>
        <sz val="12"/>
        <color theme="7" tint="-0.499984740745262"/>
        <rFont val="Calibri"/>
        <family val="2"/>
        <charset val="238"/>
        <scheme val="minor"/>
      </rPr>
      <t>930000000) *</t>
    </r>
    <r>
      <rPr>
        <sz val="12"/>
        <color rgb="FF7030A0"/>
        <rFont val="Calibri"/>
        <family val="2"/>
        <charset val="238"/>
        <scheme val="minor"/>
      </rPr>
      <t>80000000=</t>
    </r>
  </si>
  <si>
    <r>
      <t>(</t>
    </r>
    <r>
      <rPr>
        <sz val="12"/>
        <color rgb="FFFF0000"/>
        <rFont val="Calibri"/>
        <family val="2"/>
        <charset val="238"/>
        <scheme val="minor"/>
      </rPr>
      <t>60000000</t>
    </r>
    <r>
      <rPr>
        <sz val="12"/>
        <color theme="1"/>
        <rFont val="Calibri"/>
        <family val="2"/>
        <charset val="238"/>
        <scheme val="minor"/>
      </rPr>
      <t xml:space="preserve"> /</t>
    </r>
    <r>
      <rPr>
        <sz val="12"/>
        <color theme="7" tint="-0.499984740745262"/>
        <rFont val="Calibri"/>
        <family val="2"/>
        <charset val="238"/>
        <scheme val="minor"/>
      </rPr>
      <t>930000000) *</t>
    </r>
    <r>
      <rPr>
        <sz val="12"/>
        <color rgb="FF7030A0"/>
        <rFont val="Calibri"/>
        <family val="2"/>
        <charset val="238"/>
        <scheme val="minor"/>
      </rPr>
      <t>150000000=</t>
    </r>
  </si>
  <si>
    <r>
      <t>(</t>
    </r>
    <r>
      <rPr>
        <sz val="12"/>
        <color rgb="FFFF0000"/>
        <rFont val="Calibri"/>
        <family val="2"/>
        <charset val="238"/>
        <scheme val="minor"/>
      </rPr>
      <t>60000000</t>
    </r>
    <r>
      <rPr>
        <sz val="12"/>
        <color theme="1"/>
        <rFont val="Calibri"/>
        <family val="2"/>
        <charset val="238"/>
        <scheme val="minor"/>
      </rPr>
      <t xml:space="preserve"> /</t>
    </r>
    <r>
      <rPr>
        <sz val="12"/>
        <color theme="7" tint="-0.499984740745262"/>
        <rFont val="Calibri"/>
        <family val="2"/>
        <charset val="238"/>
        <scheme val="minor"/>
      </rPr>
      <t>930000000) *</t>
    </r>
    <r>
      <rPr>
        <sz val="12"/>
        <color rgb="FF7030A0"/>
        <rFont val="Calibri"/>
        <family val="2"/>
        <charset val="238"/>
        <scheme val="minor"/>
      </rPr>
      <t>700000000=</t>
    </r>
  </si>
  <si>
    <t>(ellenőrző szumma)</t>
  </si>
  <si>
    <t>Vetítési alapok:</t>
  </si>
  <si>
    <t>A</t>
  </si>
  <si>
    <t>B</t>
  </si>
  <si>
    <t>C</t>
  </si>
  <si>
    <t>közvetlen anyagktg (ft)</t>
  </si>
  <si>
    <t>közvetlen bér ktg (ft)</t>
  </si>
  <si>
    <r>
      <rPr>
        <sz val="11"/>
        <color theme="1"/>
        <rFont val="Calibri"/>
        <family val="2"/>
        <charset val="238"/>
        <scheme val="minor"/>
      </rPr>
      <t>gépóra felh</t>
    </r>
    <r>
      <rPr>
        <sz val="8"/>
        <color theme="1"/>
        <rFont val="Calibri"/>
        <family val="2"/>
        <charset val="238"/>
        <scheme val="minor"/>
      </rPr>
      <t>.</t>
    </r>
    <r>
      <rPr>
        <sz val="8"/>
        <color rgb="FFC00000"/>
        <rFont val="Calibri"/>
        <family val="2"/>
        <charset val="238"/>
        <scheme val="minor"/>
      </rPr>
      <t>(gó-ra számolva)</t>
    </r>
  </si>
  <si>
    <t>Gépátállítások száma</t>
  </si>
  <si>
    <t>Rendelések száma</t>
  </si>
  <si>
    <t>Közvetett ktg-ek összesen:</t>
  </si>
  <si>
    <t>pótlékoló kulcs (közvetettktg /         össz.vetítésialap)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</si>
</sst>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u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u/>
      <sz val="12"/>
      <color theme="1"/>
      <name val="Calibri"/>
      <family val="2"/>
      <charset val="238"/>
      <scheme val="minor"/>
    </font>
    <font>
      <sz val="11"/>
      <color theme="4" tint="-0.499984740745262"/>
      <name val="Calibri"/>
      <family val="2"/>
      <charset val="238"/>
      <scheme val="minor"/>
    </font>
    <font>
      <sz val="12"/>
      <color theme="8" tint="-0.499984740745262"/>
      <name val="Calibri"/>
      <family val="2"/>
      <charset val="238"/>
      <scheme val="minor"/>
    </font>
    <font>
      <b/>
      <u/>
      <sz val="12"/>
      <color theme="4" tint="-0.499984740745262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7" tint="-0.499984740745262"/>
      <name val="Calibri"/>
      <family val="2"/>
      <charset val="238"/>
      <scheme val="minor"/>
    </font>
    <font>
      <b/>
      <sz val="11"/>
      <color rgb="FF7030A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sz val="12"/>
      <color theme="7" tint="-0.499984740745262"/>
      <name val="Calibri"/>
      <family val="2"/>
      <charset val="238"/>
      <scheme val="minor"/>
    </font>
    <font>
      <sz val="12"/>
      <color rgb="FF7030A0"/>
      <name val="Calibri"/>
      <family val="2"/>
      <charset val="238"/>
      <scheme val="minor"/>
    </font>
    <font>
      <i/>
      <sz val="9"/>
      <color theme="1"/>
      <name val="Calibri"/>
      <family val="2"/>
      <charset val="238"/>
      <scheme val="minor"/>
    </font>
    <font>
      <b/>
      <sz val="12"/>
      <color theme="7" tint="-0.499984740745262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color rgb="FFC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3" fontId="0" fillId="0" borderId="0" xfId="0" applyNumberFormat="1"/>
    <xf numFmtId="0" fontId="0" fillId="0" borderId="0" xfId="0" quotePrefix="1"/>
    <xf numFmtId="3" fontId="1" fillId="0" borderId="0" xfId="0" applyNumberFormat="1" applyFont="1"/>
    <xf numFmtId="0" fontId="1" fillId="0" borderId="0" xfId="0" applyFont="1"/>
    <xf numFmtId="3" fontId="0" fillId="0" borderId="0" xfId="0" applyNumberFormat="1" applyFont="1"/>
    <xf numFmtId="0" fontId="2" fillId="0" borderId="0" xfId="0" applyFont="1"/>
    <xf numFmtId="0" fontId="3" fillId="0" borderId="0" xfId="0" applyFont="1"/>
    <xf numFmtId="3" fontId="0" fillId="0" borderId="1" xfId="0" applyNumberFormat="1" applyBorder="1"/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0" xfId="0" applyFont="1"/>
    <xf numFmtId="0" fontId="4" fillId="0" borderId="5" xfId="0" applyFont="1" applyBorder="1" applyAlignment="1">
      <alignment wrapText="1"/>
    </xf>
    <xf numFmtId="0" fontId="4" fillId="0" borderId="0" xfId="0" applyFont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3" fontId="5" fillId="0" borderId="1" xfId="0" applyNumberFormat="1" applyFont="1" applyBorder="1"/>
    <xf numFmtId="0" fontId="6" fillId="0" borderId="0" xfId="0" quotePrefix="1" applyFont="1"/>
    <xf numFmtId="3" fontId="7" fillId="0" borderId="1" xfId="0" applyNumberFormat="1" applyFont="1" applyBorder="1"/>
    <xf numFmtId="3" fontId="8" fillId="0" borderId="1" xfId="0" applyNumberFormat="1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/>
    <xf numFmtId="3" fontId="0" fillId="0" borderId="7" xfId="0" applyNumberFormat="1" applyBorder="1"/>
    <xf numFmtId="0" fontId="4" fillId="0" borderId="8" xfId="0" applyFont="1" applyBorder="1" applyAlignment="1">
      <alignment wrapText="1"/>
    </xf>
    <xf numFmtId="3" fontId="4" fillId="0" borderId="9" xfId="0" applyNumberFormat="1" applyFont="1" applyBorder="1"/>
    <xf numFmtId="3" fontId="4" fillId="0" borderId="10" xfId="0" applyNumberFormat="1" applyFont="1" applyBorder="1"/>
    <xf numFmtId="0" fontId="9" fillId="0" borderId="0" xfId="0" quotePrefix="1" applyFont="1"/>
    <xf numFmtId="0" fontId="4" fillId="0" borderId="11" xfId="0" applyFont="1" applyBorder="1"/>
    <xf numFmtId="0" fontId="3" fillId="0" borderId="11" xfId="0" applyFont="1" applyBorder="1"/>
    <xf numFmtId="0" fontId="8" fillId="0" borderId="12" xfId="0" applyFont="1" applyBorder="1"/>
    <xf numFmtId="0" fontId="3" fillId="0" borderId="0" xfId="0" applyFont="1" applyBorder="1"/>
    <xf numFmtId="0" fontId="4" fillId="0" borderId="3" xfId="0" applyFont="1" applyBorder="1"/>
    <xf numFmtId="3" fontId="1" fillId="0" borderId="1" xfId="0" applyNumberFormat="1" applyFont="1" applyBorder="1"/>
    <xf numFmtId="0" fontId="4" fillId="0" borderId="0" xfId="0" applyFont="1" applyBorder="1"/>
    <xf numFmtId="3" fontId="0" fillId="0" borderId="0" xfId="0" applyNumberFormat="1" applyBorder="1"/>
    <xf numFmtId="3" fontId="3" fillId="0" borderId="1" xfId="0" applyNumberFormat="1" applyFont="1" applyBorder="1"/>
    <xf numFmtId="3" fontId="0" fillId="0" borderId="0" xfId="0" applyNumberFormat="1" applyBorder="1" applyAlignment="1">
      <alignment wrapText="1"/>
    </xf>
    <xf numFmtId="0" fontId="1" fillId="0" borderId="0" xfId="0" applyFont="1" applyBorder="1" applyAlignment="1">
      <alignment wrapText="1"/>
    </xf>
    <xf numFmtId="12" fontId="3" fillId="0" borderId="0" xfId="0" applyNumberFormat="1" applyFont="1" applyBorder="1" applyAlignment="1">
      <alignment wrapText="1"/>
    </xf>
    <xf numFmtId="0" fontId="16" fillId="0" borderId="0" xfId="0" applyFont="1" applyAlignment="1">
      <alignment wrapText="1"/>
    </xf>
    <xf numFmtId="3" fontId="10" fillId="0" borderId="1" xfId="0" applyNumberFormat="1" applyFont="1" applyBorder="1"/>
    <xf numFmtId="0" fontId="3" fillId="0" borderId="3" xfId="0" applyFont="1" applyBorder="1" applyAlignment="1"/>
    <xf numFmtId="3" fontId="16" fillId="0" borderId="0" xfId="0" applyNumberFormat="1" applyFont="1"/>
    <xf numFmtId="3" fontId="17" fillId="0" borderId="1" xfId="0" applyNumberFormat="1" applyFont="1" applyBorder="1"/>
    <xf numFmtId="3" fontId="3" fillId="0" borderId="13" xfId="0" applyNumberFormat="1" applyFont="1" applyBorder="1"/>
    <xf numFmtId="3" fontId="12" fillId="0" borderId="1" xfId="0" applyNumberFormat="1" applyFont="1" applyBorder="1"/>
    <xf numFmtId="0" fontId="18" fillId="0" borderId="13" xfId="0" applyFont="1" applyBorder="1"/>
    <xf numFmtId="0" fontId="3" fillId="0" borderId="13" xfId="0" applyFont="1" applyBorder="1"/>
    <xf numFmtId="0" fontId="0" fillId="0" borderId="5" xfId="0" applyBorder="1"/>
    <xf numFmtId="0" fontId="3" fillId="0" borderId="0" xfId="0" applyFont="1" applyAlignment="1">
      <alignment wrapText="1"/>
    </xf>
    <xf numFmtId="0" fontId="3" fillId="0" borderId="3" xfId="0" applyFont="1" applyBorder="1" applyAlignment="1">
      <alignment horizontal="center"/>
    </xf>
    <xf numFmtId="0" fontId="3" fillId="0" borderId="13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</xdr:row>
      <xdr:rowOff>28575</xdr:rowOff>
    </xdr:from>
    <xdr:ext cx="6335310" cy="7115175"/>
    <xdr:pic>
      <xdr:nvPicPr>
        <xdr:cNvPr id="2" name="Ké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9075"/>
          <a:ext cx="6335310" cy="7115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4:AC60"/>
  <sheetViews>
    <sheetView topLeftCell="A16" workbookViewId="0">
      <selection activeCell="AD23" sqref="AD23"/>
    </sheetView>
  </sheetViews>
  <sheetFormatPr defaultRowHeight="15" x14ac:dyDescent="0.25"/>
  <cols>
    <col min="14" max="14" width="16.28515625" customWidth="1"/>
    <col min="15" max="15" width="14" customWidth="1"/>
    <col min="16" max="16" width="12" bestFit="1" customWidth="1"/>
    <col min="21" max="21" width="10.85546875" bestFit="1" customWidth="1"/>
    <col min="27" max="27" width="12.28515625" bestFit="1" customWidth="1"/>
    <col min="28" max="28" width="7.42578125" bestFit="1" customWidth="1"/>
    <col min="29" max="29" width="12.140625" customWidth="1"/>
  </cols>
  <sheetData>
    <row r="4" spans="12:27" x14ac:dyDescent="0.25">
      <c r="L4" t="s">
        <v>28</v>
      </c>
      <c r="R4" t="s">
        <v>27</v>
      </c>
    </row>
    <row r="6" spans="12:27" x14ac:dyDescent="0.25">
      <c r="L6" t="s">
        <v>26</v>
      </c>
      <c r="R6" t="s">
        <v>25</v>
      </c>
    </row>
    <row r="8" spans="12:27" x14ac:dyDescent="0.25">
      <c r="L8" s="2" t="s">
        <v>24</v>
      </c>
      <c r="P8">
        <f>400000000/(100000*1000+200000*1000+110000*10000)</f>
        <v>0.2857142857142857</v>
      </c>
      <c r="R8" t="s">
        <v>8</v>
      </c>
      <c r="V8" s="2" t="s">
        <v>23</v>
      </c>
      <c r="AA8">
        <f>60000000/(80000*1000+150000*1000+70000*10000)</f>
        <v>6.4516129032258063E-2</v>
      </c>
    </row>
    <row r="9" spans="12:27" x14ac:dyDescent="0.25">
      <c r="R9" t="s">
        <v>7</v>
      </c>
      <c r="V9" s="2" t="s">
        <v>22</v>
      </c>
      <c r="AA9">
        <f>80000000/(100000*1000+200000*1000+110000*10000)</f>
        <v>5.7142857142857141E-2</v>
      </c>
    </row>
    <row r="10" spans="12:27" x14ac:dyDescent="0.25">
      <c r="L10" s="4" t="s">
        <v>16</v>
      </c>
      <c r="R10" t="s">
        <v>5</v>
      </c>
      <c r="V10" s="2" t="s">
        <v>21</v>
      </c>
      <c r="AA10">
        <f>110000000/(1*1000+2*1000+4*10000)</f>
        <v>2558.1395348837209</v>
      </c>
    </row>
    <row r="11" spans="12:27" x14ac:dyDescent="0.25">
      <c r="R11" t="s">
        <v>4</v>
      </c>
      <c r="V11" s="2" t="s">
        <v>20</v>
      </c>
      <c r="AA11">
        <f>130000000/(2+3+2)</f>
        <v>18571428.571428571</v>
      </c>
    </row>
    <row r="12" spans="12:27" x14ac:dyDescent="0.25">
      <c r="L12" t="s">
        <v>14</v>
      </c>
      <c r="N12" s="2"/>
      <c r="O12" s="1">
        <f>+P12*1000</f>
        <v>80000000</v>
      </c>
      <c r="P12" s="1">
        <v>80000</v>
      </c>
      <c r="R12" t="s">
        <v>3</v>
      </c>
      <c r="V12" s="2" t="s">
        <v>19</v>
      </c>
      <c r="AA12">
        <f>20000000/(1+5+1)</f>
        <v>2857142.8571428573</v>
      </c>
    </row>
    <row r="13" spans="12:27" x14ac:dyDescent="0.25">
      <c r="L13" t="s">
        <v>13</v>
      </c>
      <c r="N13" s="2"/>
      <c r="O13" s="1">
        <f>+P13*1000</f>
        <v>100000000</v>
      </c>
      <c r="P13" s="1">
        <v>100000</v>
      </c>
    </row>
    <row r="14" spans="12:27" x14ac:dyDescent="0.25">
      <c r="L14" t="s">
        <v>11</v>
      </c>
      <c r="O14" s="1">
        <f>+P14*1000</f>
        <v>5000000</v>
      </c>
      <c r="P14" s="1">
        <v>5000</v>
      </c>
    </row>
    <row r="15" spans="12:27" x14ac:dyDescent="0.25">
      <c r="L15" t="s">
        <v>12</v>
      </c>
      <c r="O15" s="1">
        <f>+P13*P8*1000</f>
        <v>28571428.571428567</v>
      </c>
      <c r="P15" s="1">
        <f>+O15/1000</f>
        <v>28571.428571428569</v>
      </c>
      <c r="R15" s="4" t="s">
        <v>18</v>
      </c>
      <c r="S15" s="4"/>
      <c r="T15" s="4"/>
      <c r="U15" s="4"/>
      <c r="V15" s="4"/>
      <c r="W15" s="4"/>
      <c r="X15" s="4" t="s">
        <v>17</v>
      </c>
      <c r="Y15" s="4"/>
    </row>
    <row r="16" spans="12:27" x14ac:dyDescent="0.25">
      <c r="L16" s="4" t="s">
        <v>16</v>
      </c>
      <c r="M16" s="4"/>
      <c r="N16" s="4"/>
      <c r="O16" s="3">
        <f>SUM(O12:O15)</f>
        <v>213571428.57142857</v>
      </c>
      <c r="P16" s="3">
        <f>SUM(P12:P15)</f>
        <v>213571.42857142858</v>
      </c>
      <c r="Q16" t="s">
        <v>1</v>
      </c>
    </row>
    <row r="17" spans="12:29" x14ac:dyDescent="0.25">
      <c r="P17" s="1"/>
      <c r="R17" t="s">
        <v>14</v>
      </c>
      <c r="U17" s="1">
        <f>+V17*1000</f>
        <v>80000000</v>
      </c>
      <c r="V17" s="1">
        <v>80000</v>
      </c>
      <c r="X17" t="s">
        <v>14</v>
      </c>
      <c r="AA17" s="1">
        <f>10000*AB17</f>
        <v>700000000</v>
      </c>
      <c r="AB17" s="1">
        <v>70000</v>
      </c>
    </row>
    <row r="18" spans="12:29" x14ac:dyDescent="0.25">
      <c r="L18" s="4" t="s">
        <v>2</v>
      </c>
      <c r="P18" s="1"/>
      <c r="R18" t="s">
        <v>13</v>
      </c>
      <c r="U18" s="1">
        <f>+V18*1000</f>
        <v>100000000</v>
      </c>
      <c r="V18" s="1">
        <v>100000</v>
      </c>
      <c r="X18" t="s">
        <v>13</v>
      </c>
      <c r="AA18" s="1">
        <f>10000*AB18</f>
        <v>1100000000</v>
      </c>
      <c r="AB18" s="1">
        <v>110000</v>
      </c>
    </row>
    <row r="19" spans="12:29" x14ac:dyDescent="0.25">
      <c r="P19" s="1"/>
      <c r="R19" t="s">
        <v>11</v>
      </c>
      <c r="U19" s="1">
        <f>+V19*1000</f>
        <v>5000000</v>
      </c>
      <c r="V19" s="1">
        <v>5000</v>
      </c>
      <c r="X19" t="s">
        <v>11</v>
      </c>
      <c r="AA19" s="1">
        <f>10000*AB19</f>
        <v>60000000</v>
      </c>
      <c r="AB19" s="1">
        <v>6000</v>
      </c>
    </row>
    <row r="20" spans="12:29" x14ac:dyDescent="0.25">
      <c r="L20" t="s">
        <v>14</v>
      </c>
      <c r="N20" s="2"/>
      <c r="O20" s="1">
        <f>+P20*1000</f>
        <v>150000000</v>
      </c>
      <c r="P20" s="1">
        <v>150000</v>
      </c>
      <c r="R20" t="s">
        <v>9</v>
      </c>
      <c r="U20" s="1">
        <f>+V20*1000</f>
        <v>0</v>
      </c>
      <c r="V20" s="1">
        <v>0</v>
      </c>
      <c r="X20" t="s">
        <v>9</v>
      </c>
      <c r="AA20" s="1">
        <f>10000*AB20</f>
        <v>0</v>
      </c>
      <c r="AB20" s="1">
        <v>0</v>
      </c>
    </row>
    <row r="21" spans="12:29" x14ac:dyDescent="0.25">
      <c r="L21" t="s">
        <v>13</v>
      </c>
      <c r="N21" s="2"/>
      <c r="O21" s="1">
        <f>+P21*1000</f>
        <v>200000000</v>
      </c>
      <c r="P21" s="1">
        <v>200000</v>
      </c>
      <c r="R21" t="s">
        <v>8</v>
      </c>
      <c r="U21" s="1">
        <f>+V17*AA8*1000</f>
        <v>5161290.3225806449</v>
      </c>
      <c r="V21" s="1">
        <f>+U21/1000</f>
        <v>5161.2903225806449</v>
      </c>
      <c r="X21" t="s">
        <v>8</v>
      </c>
      <c r="AA21" s="1">
        <f>+AB17*AA8*10000</f>
        <v>45161290.322580643</v>
      </c>
      <c r="AB21" s="1">
        <f>+AA21/10000</f>
        <v>4516.1290322580644</v>
      </c>
    </row>
    <row r="22" spans="12:29" x14ac:dyDescent="0.25">
      <c r="L22" t="s">
        <v>11</v>
      </c>
      <c r="O22" s="1">
        <f>+P22*1000</f>
        <v>2000000</v>
      </c>
      <c r="P22" s="1">
        <v>2000</v>
      </c>
      <c r="R22" t="s">
        <v>7</v>
      </c>
      <c r="U22" s="1">
        <f>+V18*AA9*1000</f>
        <v>5714285.7142857136</v>
      </c>
      <c r="V22" s="1">
        <f>+U22/1000</f>
        <v>5714.2857142857138</v>
      </c>
      <c r="X22" t="s">
        <v>7</v>
      </c>
      <c r="AA22" s="1">
        <f>+AB18*AA9*10000</f>
        <v>62857142.857142851</v>
      </c>
      <c r="AB22" s="1">
        <f t="shared" ref="AB22:AB25" si="0">+AA22/10000</f>
        <v>6285.7142857142853</v>
      </c>
    </row>
    <row r="23" spans="12:29" x14ac:dyDescent="0.25">
      <c r="L23" t="s">
        <v>9</v>
      </c>
      <c r="O23" s="1">
        <f>+P23*1000</f>
        <v>5000000</v>
      </c>
      <c r="P23" s="1">
        <v>5000</v>
      </c>
      <c r="R23" t="s">
        <v>5</v>
      </c>
      <c r="U23" s="1">
        <f>1*AA10*1000</f>
        <v>2558139.5348837208</v>
      </c>
      <c r="V23" s="1">
        <f>+U23/1000</f>
        <v>2558.1395348837209</v>
      </c>
      <c r="X23" t="s">
        <v>5</v>
      </c>
      <c r="AA23" s="1">
        <f>+AA10*4*10000</f>
        <v>102325581.39534883</v>
      </c>
      <c r="AB23" s="1">
        <f t="shared" si="0"/>
        <v>10232.558139534884</v>
      </c>
    </row>
    <row r="24" spans="12:29" x14ac:dyDescent="0.25">
      <c r="L24" t="s">
        <v>12</v>
      </c>
      <c r="O24" s="5">
        <f>+P21*P8*1000</f>
        <v>57142857.142857134</v>
      </c>
      <c r="P24" s="1">
        <f>+O24/1000</f>
        <v>57142.857142857138</v>
      </c>
      <c r="R24" t="s">
        <v>4</v>
      </c>
      <c r="U24" s="1">
        <f>2*AA11</f>
        <v>37142857.142857142</v>
      </c>
      <c r="V24" s="1">
        <f>+U24/1000</f>
        <v>37142.857142857145</v>
      </c>
      <c r="X24" t="s">
        <v>4</v>
      </c>
      <c r="AA24" s="1">
        <f>+AA11*2</f>
        <v>37142857.142857142</v>
      </c>
      <c r="AB24" s="1">
        <f t="shared" si="0"/>
        <v>3714.2857142857142</v>
      </c>
    </row>
    <row r="25" spans="12:29" x14ac:dyDescent="0.25">
      <c r="L25" s="4" t="s">
        <v>2</v>
      </c>
      <c r="O25" s="3">
        <f>SUM(O20:O24)</f>
        <v>414142857.14285713</v>
      </c>
      <c r="P25" s="3">
        <f>SUM(P20:P24)</f>
        <v>414142.85714285716</v>
      </c>
      <c r="Q25" t="s">
        <v>1</v>
      </c>
      <c r="R25" t="s">
        <v>3</v>
      </c>
      <c r="U25" s="1">
        <f>1*AA12</f>
        <v>2857142.8571428573</v>
      </c>
      <c r="V25" s="1">
        <f>+U25/1000</f>
        <v>2857.1428571428573</v>
      </c>
      <c r="X25" t="s">
        <v>3</v>
      </c>
      <c r="AA25" s="1">
        <f>+AA12*1</f>
        <v>2857142.8571428573</v>
      </c>
      <c r="AB25" s="1">
        <f t="shared" si="0"/>
        <v>285.71428571428572</v>
      </c>
    </row>
    <row r="26" spans="12:29" x14ac:dyDescent="0.25">
      <c r="R26" s="4" t="s">
        <v>16</v>
      </c>
      <c r="S26" s="4"/>
      <c r="T26" s="4"/>
      <c r="U26" s="3">
        <f>SUM(U17:U25)</f>
        <v>238433715.57175004</v>
      </c>
      <c r="V26" s="3">
        <f>SUM(V17:V25)</f>
        <v>238433.7155717501</v>
      </c>
      <c r="W26" s="4" t="s">
        <v>1</v>
      </c>
      <c r="X26" s="4" t="s">
        <v>10</v>
      </c>
      <c r="Y26" s="4"/>
      <c r="Z26" s="4"/>
      <c r="AA26" s="3">
        <f>SUM(AA17:AA25)</f>
        <v>2110344014.5750723</v>
      </c>
      <c r="AB26" s="3">
        <f>SUM(AB17:AB25)</f>
        <v>211034.40145750722</v>
      </c>
      <c r="AC26" s="4" t="s">
        <v>1</v>
      </c>
    </row>
    <row r="27" spans="12:29" x14ac:dyDescent="0.25">
      <c r="V27" s="1"/>
    </row>
    <row r="28" spans="12:29" x14ac:dyDescent="0.25">
      <c r="L28" s="4" t="s">
        <v>10</v>
      </c>
      <c r="V28" s="1"/>
    </row>
    <row r="29" spans="12:29" x14ac:dyDescent="0.25">
      <c r="R29" s="4" t="s">
        <v>15</v>
      </c>
    </row>
    <row r="30" spans="12:29" x14ac:dyDescent="0.25">
      <c r="L30" t="s">
        <v>14</v>
      </c>
      <c r="N30" s="2"/>
      <c r="O30" s="1">
        <f>+P30*10000</f>
        <v>700000000</v>
      </c>
      <c r="P30" s="1">
        <v>70000</v>
      </c>
    </row>
    <row r="31" spans="12:29" x14ac:dyDescent="0.25">
      <c r="L31" t="s">
        <v>13</v>
      </c>
      <c r="N31" s="2"/>
      <c r="O31" s="1">
        <f>+P31*10000</f>
        <v>1100000000</v>
      </c>
      <c r="P31" s="1">
        <v>110000</v>
      </c>
      <c r="R31" t="s">
        <v>14</v>
      </c>
      <c r="U31" s="1">
        <f>+V31*1000</f>
        <v>150000000</v>
      </c>
      <c r="V31" s="1">
        <v>150000</v>
      </c>
      <c r="X31" t="s">
        <v>6</v>
      </c>
      <c r="AA31" s="1">
        <f>SUM(AA33:AA37)</f>
        <v>400000000</v>
      </c>
      <c r="AC31" s="1"/>
    </row>
    <row r="32" spans="12:29" x14ac:dyDescent="0.25">
      <c r="L32" t="s">
        <v>11</v>
      </c>
      <c r="O32" s="1">
        <f>+P32*10000</f>
        <v>60000000</v>
      </c>
      <c r="P32" s="1">
        <v>6000</v>
      </c>
      <c r="R32" t="s">
        <v>13</v>
      </c>
      <c r="U32" s="1">
        <f>+V32*1000</f>
        <v>200000000</v>
      </c>
      <c r="V32" s="1">
        <v>200000</v>
      </c>
    </row>
    <row r="33" spans="12:27" x14ac:dyDescent="0.25">
      <c r="L33" t="s">
        <v>12</v>
      </c>
      <c r="O33" s="1">
        <f>+P31*P8*10000</f>
        <v>314285714.28571427</v>
      </c>
      <c r="P33" s="1">
        <f>+P31*P8</f>
        <v>31428.571428571428</v>
      </c>
      <c r="R33" t="s">
        <v>11</v>
      </c>
      <c r="U33" s="1">
        <f>+V33*1000</f>
        <v>2000000</v>
      </c>
      <c r="V33" s="1">
        <v>2000</v>
      </c>
      <c r="X33" t="s">
        <v>8</v>
      </c>
      <c r="AA33" s="1">
        <f>+U21+U35+AA21</f>
        <v>60000000</v>
      </c>
    </row>
    <row r="34" spans="12:27" x14ac:dyDescent="0.25">
      <c r="L34" s="4" t="s">
        <v>10</v>
      </c>
      <c r="O34" s="3">
        <f>SUM(O30:O33)</f>
        <v>2174285714.2857141</v>
      </c>
      <c r="P34" s="3">
        <f>SUM(P30:P33)</f>
        <v>217428.57142857142</v>
      </c>
      <c r="Q34" t="s">
        <v>1</v>
      </c>
      <c r="R34" t="s">
        <v>9</v>
      </c>
      <c r="U34" s="1">
        <f>+V34*1000</f>
        <v>5000000</v>
      </c>
      <c r="V34" s="1">
        <v>5000</v>
      </c>
      <c r="X34" t="s">
        <v>7</v>
      </c>
      <c r="AA34" s="1">
        <f>+U22+U36+AA22</f>
        <v>80000000</v>
      </c>
    </row>
    <row r="35" spans="12:27" x14ac:dyDescent="0.25">
      <c r="R35" t="s">
        <v>8</v>
      </c>
      <c r="U35" s="1">
        <f>+V31*AA8*1000</f>
        <v>9677419.3548387103</v>
      </c>
      <c r="V35" s="1">
        <f>+U35/1000</f>
        <v>9677.4193548387102</v>
      </c>
      <c r="X35" t="s">
        <v>5</v>
      </c>
      <c r="AA35" s="1">
        <f>+U23+U37+AA23</f>
        <v>110000000</v>
      </c>
    </row>
    <row r="36" spans="12:27" x14ac:dyDescent="0.25">
      <c r="R36" t="s">
        <v>7</v>
      </c>
      <c r="U36" s="1">
        <f>+V32*AA9*1000</f>
        <v>11428571.428571427</v>
      </c>
      <c r="V36" s="1">
        <f>+U36/1000</f>
        <v>11428.571428571428</v>
      </c>
      <c r="X36" t="s">
        <v>4</v>
      </c>
      <c r="AA36" s="1">
        <f>+U24+U38+AA24</f>
        <v>130000000</v>
      </c>
    </row>
    <row r="37" spans="12:27" x14ac:dyDescent="0.25">
      <c r="L37" t="s">
        <v>6</v>
      </c>
      <c r="P37" s="1">
        <f>+O33+O24+O15</f>
        <v>400000000</v>
      </c>
      <c r="R37" t="s">
        <v>5</v>
      </c>
      <c r="U37" s="1">
        <f>2*AA10*1000</f>
        <v>5116279.0697674416</v>
      </c>
      <c r="V37" s="1">
        <f>+U37/1000</f>
        <v>5116.2790697674418</v>
      </c>
      <c r="X37" t="s">
        <v>3</v>
      </c>
      <c r="AA37" s="1">
        <f>+U25+U39+AA25</f>
        <v>20000000.000000004</v>
      </c>
    </row>
    <row r="38" spans="12:27" x14ac:dyDescent="0.25">
      <c r="R38" t="s">
        <v>4</v>
      </c>
      <c r="U38" s="1">
        <f>3*AA11</f>
        <v>55714285.714285716</v>
      </c>
      <c r="V38" s="1">
        <f>+U38/1000</f>
        <v>55714.285714285717</v>
      </c>
    </row>
    <row r="39" spans="12:27" x14ac:dyDescent="0.25">
      <c r="R39" t="s">
        <v>3</v>
      </c>
      <c r="U39" s="1">
        <f>5*AA12</f>
        <v>14285714.285714287</v>
      </c>
      <c r="V39" s="1">
        <f>+U39/1000</f>
        <v>14285.714285714288</v>
      </c>
    </row>
    <row r="40" spans="12:27" x14ac:dyDescent="0.25">
      <c r="R40" s="4" t="s">
        <v>2</v>
      </c>
      <c r="S40" s="4"/>
      <c r="T40" s="4"/>
      <c r="U40" s="3">
        <f>SUM(U31:U39)</f>
        <v>453222269.85317755</v>
      </c>
      <c r="V40" s="3">
        <f>SUM(V31:V39)</f>
        <v>453222.2698531776</v>
      </c>
      <c r="W40" t="s">
        <v>1</v>
      </c>
    </row>
    <row r="41" spans="12:27" x14ac:dyDescent="0.25">
      <c r="V41" s="1"/>
    </row>
    <row r="42" spans="12:27" x14ac:dyDescent="0.25">
      <c r="V42" s="1"/>
    </row>
    <row r="43" spans="12:27" x14ac:dyDescent="0.25">
      <c r="V43" s="1"/>
    </row>
    <row r="44" spans="12:27" x14ac:dyDescent="0.25">
      <c r="V44" s="1"/>
    </row>
    <row r="45" spans="12:27" x14ac:dyDescent="0.25">
      <c r="V45" s="1"/>
    </row>
    <row r="46" spans="12:27" x14ac:dyDescent="0.25">
      <c r="V46" s="1"/>
    </row>
    <row r="47" spans="12:27" x14ac:dyDescent="0.25">
      <c r="V47" s="1"/>
    </row>
    <row r="48" spans="12:27" x14ac:dyDescent="0.25">
      <c r="V48" s="1"/>
    </row>
    <row r="49" spans="22:22" x14ac:dyDescent="0.25">
      <c r="V49" s="1"/>
    </row>
    <row r="50" spans="22:22" x14ac:dyDescent="0.25">
      <c r="V50" s="1"/>
    </row>
    <row r="51" spans="22:22" x14ac:dyDescent="0.25">
      <c r="V51" s="1"/>
    </row>
    <row r="52" spans="22:22" x14ac:dyDescent="0.25">
      <c r="V52" s="1"/>
    </row>
    <row r="53" spans="22:22" x14ac:dyDescent="0.25">
      <c r="V53" s="1"/>
    </row>
    <row r="54" spans="22:22" x14ac:dyDescent="0.25">
      <c r="V54" s="1"/>
    </row>
    <row r="55" spans="22:22" x14ac:dyDescent="0.25">
      <c r="V55" s="1"/>
    </row>
    <row r="56" spans="22:22" x14ac:dyDescent="0.25">
      <c r="V56" s="1"/>
    </row>
    <row r="57" spans="22:22" x14ac:dyDescent="0.25">
      <c r="V57" s="1"/>
    </row>
    <row r="58" spans="22:22" x14ac:dyDescent="0.25">
      <c r="V58" s="1"/>
    </row>
    <row r="59" spans="22:22" x14ac:dyDescent="0.25">
      <c r="V59" s="1"/>
    </row>
    <row r="60" spans="22:22" x14ac:dyDescent="0.25">
      <c r="V60" s="1"/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tabSelected="1" workbookViewId="0">
      <selection activeCell="B2" sqref="B2:E14"/>
    </sheetView>
  </sheetViews>
  <sheetFormatPr defaultRowHeight="15.75" x14ac:dyDescent="0.25"/>
  <cols>
    <col min="1" max="1" width="24.42578125" style="7" customWidth="1"/>
    <col min="2" max="2" width="23" style="7" customWidth="1"/>
    <col min="3" max="4" width="13.42578125" style="7" customWidth="1"/>
    <col min="5" max="5" width="15.7109375" style="7" customWidth="1"/>
    <col min="6" max="6" width="12.140625" customWidth="1"/>
    <col min="7" max="7" width="14.85546875" style="7" customWidth="1"/>
    <col min="8" max="8" width="22" style="7" customWidth="1"/>
    <col min="9" max="9" width="12" style="7" customWidth="1"/>
    <col min="10" max="10" width="11.85546875" style="7" customWidth="1"/>
    <col min="11" max="11" width="12.28515625" style="7" customWidth="1"/>
    <col min="12" max="12" width="10" style="7" customWidth="1"/>
    <col min="13" max="16384" width="9.140625" style="7"/>
  </cols>
  <sheetData>
    <row r="1" spans="1:11" x14ac:dyDescent="0.25">
      <c r="A1" s="6"/>
    </row>
    <row r="2" spans="1:11" ht="16.5" thickBot="1" x14ac:dyDescent="0.3">
      <c r="A2" s="7" t="s">
        <v>29</v>
      </c>
      <c r="B2" s="8">
        <v>400000000</v>
      </c>
    </row>
    <row r="3" spans="1:11" s="11" customFormat="1" x14ac:dyDescent="0.25">
      <c r="A3" s="9"/>
      <c r="B3" s="10" t="s">
        <v>30</v>
      </c>
      <c r="C3" s="1">
        <v>1000</v>
      </c>
      <c r="D3" s="1">
        <v>1000</v>
      </c>
      <c r="E3" s="1">
        <v>10000</v>
      </c>
      <c r="I3" s="12" t="s">
        <v>31</v>
      </c>
      <c r="J3" s="12" t="s">
        <v>31</v>
      </c>
      <c r="K3" s="12" t="s">
        <v>31</v>
      </c>
    </row>
    <row r="4" spans="1:11" ht="47.25" x14ac:dyDescent="0.25">
      <c r="B4" s="13"/>
      <c r="C4" s="14" t="s">
        <v>32</v>
      </c>
      <c r="D4" s="14" t="s">
        <v>33</v>
      </c>
      <c r="E4" s="14" t="s">
        <v>34</v>
      </c>
      <c r="G4" s="15" t="s">
        <v>0</v>
      </c>
      <c r="H4" s="15"/>
      <c r="I4" s="16" t="s">
        <v>35</v>
      </c>
      <c r="J4" s="16" t="s">
        <v>36</v>
      </c>
      <c r="K4" s="16" t="s">
        <v>37</v>
      </c>
    </row>
    <row r="5" spans="1:11" s="17" customFormat="1" x14ac:dyDescent="0.25">
      <c r="B5" s="18"/>
      <c r="C5" s="19" t="s">
        <v>38</v>
      </c>
      <c r="D5" s="19" t="s">
        <v>38</v>
      </c>
      <c r="E5" s="19" t="s">
        <v>38</v>
      </c>
      <c r="I5" s="20" t="s">
        <v>1</v>
      </c>
      <c r="J5" s="20" t="s">
        <v>1</v>
      </c>
      <c r="K5" s="20" t="s">
        <v>1</v>
      </c>
    </row>
    <row r="6" spans="1:11" x14ac:dyDescent="0.25">
      <c r="B6" s="18" t="s">
        <v>14</v>
      </c>
      <c r="C6" s="8">
        <f t="shared" ref="C6:D8" si="0">+I6*1000</f>
        <v>80000000</v>
      </c>
      <c r="D6" s="8">
        <f t="shared" si="0"/>
        <v>150000000</v>
      </c>
      <c r="E6" s="8">
        <f>10000*K6</f>
        <v>700000000</v>
      </c>
      <c r="G6" s="21">
        <f>C6+D6+E6</f>
        <v>930000000</v>
      </c>
      <c r="H6" s="18" t="s">
        <v>14</v>
      </c>
      <c r="I6" s="8">
        <v>80000</v>
      </c>
      <c r="J6" s="8">
        <v>150000</v>
      </c>
      <c r="K6" s="8">
        <v>70000</v>
      </c>
    </row>
    <row r="7" spans="1:11" x14ac:dyDescent="0.25">
      <c r="A7" s="22"/>
      <c r="B7" s="18" t="s">
        <v>13</v>
      </c>
      <c r="C7" s="23">
        <f t="shared" si="0"/>
        <v>100000000</v>
      </c>
      <c r="D7" s="23">
        <f t="shared" si="0"/>
        <v>200000000</v>
      </c>
      <c r="E7" s="23">
        <f>10000*K7</f>
        <v>1100000000</v>
      </c>
      <c r="G7" s="24">
        <f>C7+D7+E7</f>
        <v>1400000000</v>
      </c>
      <c r="H7" s="18" t="s">
        <v>13</v>
      </c>
      <c r="I7" s="8">
        <v>100000</v>
      </c>
      <c r="J7" s="8">
        <v>200000</v>
      </c>
      <c r="K7" s="8">
        <v>110000</v>
      </c>
    </row>
    <row r="8" spans="1:11" x14ac:dyDescent="0.25">
      <c r="B8" s="18" t="s">
        <v>11</v>
      </c>
      <c r="C8" s="8">
        <f t="shared" si="0"/>
        <v>5000000</v>
      </c>
      <c r="D8" s="8">
        <f t="shared" si="0"/>
        <v>2000000</v>
      </c>
      <c r="E8" s="8">
        <f>10000*K8</f>
        <v>60000000</v>
      </c>
      <c r="H8" s="25" t="s">
        <v>11</v>
      </c>
      <c r="I8" s="8">
        <v>5000</v>
      </c>
      <c r="J8" s="8">
        <v>2000</v>
      </c>
      <c r="K8" s="8">
        <v>6000</v>
      </c>
    </row>
    <row r="9" spans="1:11" ht="16.5" thickBot="1" x14ac:dyDescent="0.3">
      <c r="A9" s="22"/>
      <c r="B9" s="26" t="s">
        <v>39</v>
      </c>
      <c r="C9" s="27">
        <v>0</v>
      </c>
      <c r="D9" s="28">
        <f>+J9*1000</f>
        <v>5000000</v>
      </c>
      <c r="E9" s="28">
        <f>10000*K9</f>
        <v>0</v>
      </c>
      <c r="H9" s="25" t="s">
        <v>39</v>
      </c>
      <c r="I9" s="25">
        <v>0</v>
      </c>
      <c r="J9" s="8">
        <v>5000</v>
      </c>
      <c r="K9" s="25">
        <v>0</v>
      </c>
    </row>
    <row r="10" spans="1:11" ht="32.25" thickBot="1" x14ac:dyDescent="0.3">
      <c r="A10" s="22"/>
      <c r="B10" s="29" t="s">
        <v>40</v>
      </c>
      <c r="C10" s="30">
        <f>SUM(C6:C9)</f>
        <v>185000000</v>
      </c>
      <c r="D10" s="31">
        <f t="shared" ref="D10:E10" si="1">SUM(D6:D9)</f>
        <v>357000000</v>
      </c>
      <c r="E10" s="31">
        <f t="shared" si="1"/>
        <v>1860000000</v>
      </c>
    </row>
    <row r="11" spans="1:11" x14ac:dyDescent="0.25">
      <c r="A11" s="32" t="s">
        <v>41</v>
      </c>
      <c r="B11" s="33"/>
      <c r="C11" s="34"/>
      <c r="D11" s="34"/>
      <c r="E11" s="34"/>
    </row>
    <row r="12" spans="1:11" x14ac:dyDescent="0.25">
      <c r="A12" s="25"/>
      <c r="B12" s="35" t="s">
        <v>12</v>
      </c>
      <c r="C12" s="8">
        <f>$B$2*C7/$G$7</f>
        <v>28571428.571428571</v>
      </c>
      <c r="D12" s="8">
        <f>$B$2*D7/$G$7</f>
        <v>57142857.142857142</v>
      </c>
      <c r="E12" s="8">
        <f>$B$2*E7/$G$7</f>
        <v>314285714.28571427</v>
      </c>
      <c r="F12" s="1">
        <f>SUM(C12:E12)</f>
        <v>400000000</v>
      </c>
    </row>
    <row r="13" spans="1:11" x14ac:dyDescent="0.25">
      <c r="A13" s="36"/>
      <c r="B13" s="37" t="s">
        <v>42</v>
      </c>
      <c r="C13" s="38">
        <f>C10+C12</f>
        <v>213571428.57142857</v>
      </c>
      <c r="D13" s="38">
        <f t="shared" ref="D13:E13" si="2">D10+D12</f>
        <v>414142857.14285713</v>
      </c>
      <c r="E13" s="38">
        <f t="shared" si="2"/>
        <v>2174285714.2857141</v>
      </c>
    </row>
    <row r="14" spans="1:11" x14ac:dyDescent="0.25">
      <c r="B14" s="37" t="s">
        <v>43</v>
      </c>
      <c r="C14" s="38">
        <f>C13/C3</f>
        <v>213571.42857142858</v>
      </c>
      <c r="D14" s="38">
        <f t="shared" ref="D14:E14" si="3">D13/D3</f>
        <v>414142.85714285716</v>
      </c>
      <c r="E14" s="38">
        <f t="shared" si="3"/>
        <v>217428.57142857142</v>
      </c>
    </row>
    <row r="15" spans="1:11" x14ac:dyDescent="0.25">
      <c r="B15" s="39"/>
      <c r="C15" s="40"/>
      <c r="D15" s="40"/>
      <c r="E15" s="40"/>
      <c r="I15" s="25" t="s">
        <v>44</v>
      </c>
      <c r="J15" s="41"/>
      <c r="K15" s="41"/>
    </row>
    <row r="16" spans="1:11" ht="30" x14ac:dyDescent="0.25">
      <c r="A16" s="6" t="s">
        <v>45</v>
      </c>
      <c r="B16" s="39"/>
      <c r="C16" s="42" t="s">
        <v>32</v>
      </c>
      <c r="D16" s="42" t="s">
        <v>33</v>
      </c>
      <c r="E16" s="42" t="s">
        <v>34</v>
      </c>
      <c r="I16" s="41">
        <v>1000</v>
      </c>
      <c r="J16" s="41">
        <v>1000</v>
      </c>
      <c r="K16" s="41">
        <v>10000</v>
      </c>
    </row>
    <row r="17" spans="1:12" ht="94.5" x14ac:dyDescent="0.25">
      <c r="A17" s="15" t="s">
        <v>46</v>
      </c>
      <c r="B17" s="43" t="s">
        <v>47</v>
      </c>
      <c r="C17" s="44" t="s">
        <v>48</v>
      </c>
      <c r="D17" s="44" t="s">
        <v>49</v>
      </c>
      <c r="E17" s="44" t="s">
        <v>50</v>
      </c>
      <c r="F17" s="45" t="s">
        <v>51</v>
      </c>
      <c r="G17" s="56" t="s">
        <v>52</v>
      </c>
      <c r="H17" s="57"/>
      <c r="I17" s="25" t="s">
        <v>53</v>
      </c>
      <c r="J17" s="25" t="s">
        <v>54</v>
      </c>
      <c r="K17" s="25" t="s">
        <v>55</v>
      </c>
      <c r="L17" s="55" t="s">
        <v>62</v>
      </c>
    </row>
    <row r="18" spans="1:12" x14ac:dyDescent="0.25">
      <c r="A18" s="46">
        <v>60000000</v>
      </c>
      <c r="B18" s="47" t="s">
        <v>8</v>
      </c>
      <c r="C18" s="8">
        <f>$A18/$G18*I18</f>
        <v>5161290.3225806449</v>
      </c>
      <c r="D18" s="8">
        <f t="shared" ref="D18:E22" si="4">$A18/$G18*J18</f>
        <v>9677419.3548387103</v>
      </c>
      <c r="E18" s="8">
        <f t="shared" si="4"/>
        <v>45161290.322580643</v>
      </c>
      <c r="F18" s="48">
        <f>SUM(C18:E18)</f>
        <v>60000000</v>
      </c>
      <c r="G18" s="49">
        <f>G6</f>
        <v>930000000</v>
      </c>
      <c r="H18" s="50" t="s">
        <v>56</v>
      </c>
      <c r="I18" s="51">
        <v>80000000</v>
      </c>
      <c r="J18" s="51">
        <v>150000000</v>
      </c>
      <c r="K18" s="51">
        <v>700000000</v>
      </c>
      <c r="L18" s="7">
        <f>A18/G18</f>
        <v>6.4516129032258063E-2</v>
      </c>
    </row>
    <row r="19" spans="1:12" x14ac:dyDescent="0.25">
      <c r="A19" s="8">
        <v>80000000</v>
      </c>
      <c r="B19" s="47" t="s">
        <v>7</v>
      </c>
      <c r="C19" s="8">
        <f t="shared" ref="C19:C22" si="5">$A19/$G19*I19</f>
        <v>5714285.7142857146</v>
      </c>
      <c r="D19" s="8">
        <f t="shared" si="4"/>
        <v>11428571.428571429</v>
      </c>
      <c r="E19" s="8">
        <f t="shared" si="4"/>
        <v>62857142.857142858</v>
      </c>
      <c r="F19" s="48">
        <f t="shared" ref="F19:F22" si="6">SUM(C19:E19)</f>
        <v>80000000</v>
      </c>
      <c r="G19" s="21">
        <f>G7</f>
        <v>1400000000</v>
      </c>
      <c r="H19" s="50" t="s">
        <v>57</v>
      </c>
      <c r="I19" s="8">
        <v>100000000</v>
      </c>
      <c r="J19" s="8">
        <v>200000000</v>
      </c>
      <c r="K19" s="8">
        <v>1100000000</v>
      </c>
      <c r="L19" s="7">
        <f t="shared" ref="L19:L22" si="7">A19/G19</f>
        <v>5.7142857142857141E-2</v>
      </c>
    </row>
    <row r="20" spans="1:12" x14ac:dyDescent="0.25">
      <c r="A20" s="8">
        <v>110000000</v>
      </c>
      <c r="B20" s="47" t="s">
        <v>5</v>
      </c>
      <c r="C20" s="8">
        <f t="shared" si="5"/>
        <v>2558139.5348837208</v>
      </c>
      <c r="D20" s="8">
        <f t="shared" si="4"/>
        <v>5116279.0697674416</v>
      </c>
      <c r="E20" s="8">
        <f t="shared" si="4"/>
        <v>102325581.39534883</v>
      </c>
      <c r="F20" s="48">
        <f t="shared" si="6"/>
        <v>110000000</v>
      </c>
      <c r="G20" s="25">
        <f>I20+J20+K20</f>
        <v>43000</v>
      </c>
      <c r="H20" s="52" t="s">
        <v>58</v>
      </c>
      <c r="I20" s="8">
        <v>1000</v>
      </c>
      <c r="J20" s="8">
        <v>2000</v>
      </c>
      <c r="K20" s="8">
        <v>40000</v>
      </c>
      <c r="L20" s="7">
        <f t="shared" si="7"/>
        <v>2558.1395348837209</v>
      </c>
    </row>
    <row r="21" spans="1:12" x14ac:dyDescent="0.25">
      <c r="A21" s="8">
        <v>130000000</v>
      </c>
      <c r="B21" s="47" t="s">
        <v>4</v>
      </c>
      <c r="C21" s="8">
        <f t="shared" si="5"/>
        <v>37142857.142857142</v>
      </c>
      <c r="D21" s="8">
        <f t="shared" si="4"/>
        <v>55714285.714285716</v>
      </c>
      <c r="E21" s="8">
        <f t="shared" si="4"/>
        <v>37142857.142857142</v>
      </c>
      <c r="F21" s="48">
        <f t="shared" si="6"/>
        <v>130000000</v>
      </c>
      <c r="G21" s="25">
        <f>I21+J21+K21</f>
        <v>7</v>
      </c>
      <c r="H21" s="53" t="s">
        <v>59</v>
      </c>
      <c r="I21" s="8">
        <v>2</v>
      </c>
      <c r="J21" s="8">
        <v>3</v>
      </c>
      <c r="K21" s="8">
        <v>2</v>
      </c>
      <c r="L21" s="7">
        <f t="shared" si="7"/>
        <v>18571428.571428571</v>
      </c>
    </row>
    <row r="22" spans="1:12" ht="16.5" thickBot="1" x14ac:dyDescent="0.3">
      <c r="A22" s="8">
        <v>20000000</v>
      </c>
      <c r="B22" s="54" t="s">
        <v>3</v>
      </c>
      <c r="C22" s="8">
        <f t="shared" si="5"/>
        <v>2857142.8571428573</v>
      </c>
      <c r="D22" s="8">
        <f t="shared" si="4"/>
        <v>14285714.285714287</v>
      </c>
      <c r="E22" s="8">
        <f t="shared" si="4"/>
        <v>2857142.8571428573</v>
      </c>
      <c r="F22" s="48">
        <f t="shared" si="6"/>
        <v>20000000.000000004</v>
      </c>
      <c r="G22" s="25">
        <f>I22+J22+K22</f>
        <v>7</v>
      </c>
      <c r="H22" s="53" t="s">
        <v>60</v>
      </c>
      <c r="I22" s="8">
        <v>1</v>
      </c>
      <c r="J22" s="8">
        <v>5</v>
      </c>
      <c r="K22" s="8">
        <v>1</v>
      </c>
      <c r="L22" s="7">
        <f t="shared" si="7"/>
        <v>2857142.8571428573</v>
      </c>
    </row>
    <row r="23" spans="1:12" ht="32.25" thickBot="1" x14ac:dyDescent="0.3">
      <c r="A23" s="8"/>
      <c r="B23" s="13" t="s">
        <v>61</v>
      </c>
      <c r="C23" s="30">
        <f>SUM(C18:C22)</f>
        <v>53433715.571750082</v>
      </c>
      <c r="D23" s="30">
        <f t="shared" ref="D23:E23" si="8">SUM(D18:D22)</f>
        <v>96222269.853177577</v>
      </c>
      <c r="E23" s="30">
        <f t="shared" si="8"/>
        <v>250344014.57507235</v>
      </c>
      <c r="F23" s="48">
        <f>SUM(C23,E23,D23)</f>
        <v>400000000</v>
      </c>
    </row>
    <row r="24" spans="1:12" x14ac:dyDescent="0.25">
      <c r="C24" s="15"/>
      <c r="D24" s="15"/>
      <c r="E24" s="15"/>
    </row>
    <row r="25" spans="1:12" x14ac:dyDescent="0.25">
      <c r="B25" s="37" t="s">
        <v>42</v>
      </c>
      <c r="C25" s="38">
        <f>C10+C23</f>
        <v>238433715.57175007</v>
      </c>
      <c r="D25" s="38">
        <f t="shared" ref="D25:E25" si="9">D10+D23</f>
        <v>453222269.85317755</v>
      </c>
      <c r="E25" s="38">
        <f t="shared" si="9"/>
        <v>2110344014.5750723</v>
      </c>
    </row>
    <row r="26" spans="1:12" x14ac:dyDescent="0.25">
      <c r="B26" s="37" t="s">
        <v>43</v>
      </c>
      <c r="C26" s="38">
        <f>C25/C3</f>
        <v>238433.71557175007</v>
      </c>
      <c r="D26" s="38">
        <f t="shared" ref="D26:E26" si="10">D25/D3</f>
        <v>453222.26985317754</v>
      </c>
      <c r="E26" s="38">
        <f t="shared" si="10"/>
        <v>211034.40145750722</v>
      </c>
    </row>
  </sheetData>
  <mergeCells count="1">
    <mergeCell ref="G17:H17"/>
  </mergeCells>
  <pageMargins left="0.25" right="0.25" top="0.7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ABC</vt:lpstr>
      <vt:lpstr>ABC megoldás2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Katona</dc:creator>
  <cp:lastModifiedBy>HP</cp:lastModifiedBy>
  <cp:lastPrinted>2021-09-30T13:40:58Z</cp:lastPrinted>
  <dcterms:created xsi:type="dcterms:W3CDTF">2017-02-16T14:10:56Z</dcterms:created>
  <dcterms:modified xsi:type="dcterms:W3CDTF">2021-10-14T00:19:38Z</dcterms:modified>
</cp:coreProperties>
</file>