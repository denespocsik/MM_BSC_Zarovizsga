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Controlling\"/>
    </mc:Choice>
  </mc:AlternateContent>
  <bookViews>
    <workbookView xWindow="0" yWindow="0" windowWidth="20490" windowHeight="7350" activeTab="1"/>
  </bookViews>
  <sheets>
    <sheet name="pótlékoló" sheetId="1" r:id="rId1"/>
    <sheet name="pótlékoló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2" l="1"/>
  <c r="I20" i="2" s="1"/>
  <c r="J20" i="2" s="1"/>
  <c r="G20" i="2"/>
  <c r="H20" i="2"/>
  <c r="F21" i="2"/>
  <c r="G21" i="2"/>
  <c r="H21" i="2"/>
  <c r="F22" i="2"/>
  <c r="G22" i="2"/>
  <c r="H22" i="2"/>
  <c r="G32" i="1"/>
  <c r="J32" i="1"/>
  <c r="K32" i="1"/>
  <c r="G33" i="1"/>
  <c r="I39" i="1" s="1"/>
  <c r="G38" i="1"/>
  <c r="N37" i="1" s="1"/>
  <c r="N38" i="1" s="1"/>
  <c r="I38" i="1"/>
  <c r="J38" i="1" s="1"/>
  <c r="G49" i="1"/>
  <c r="G55" i="1" s="1"/>
  <c r="G57" i="1" s="1"/>
  <c r="G59" i="1" s="1"/>
  <c r="G50" i="1"/>
  <c r="I56" i="1" s="1"/>
  <c r="J56" i="1" s="1"/>
  <c r="G56" i="1"/>
  <c r="I22" i="2" l="1"/>
  <c r="J22" i="2" s="1"/>
  <c r="I21" i="2"/>
  <c r="J21" i="2" s="1"/>
  <c r="F27" i="2" s="1"/>
  <c r="G27" i="2"/>
  <c r="G28" i="2"/>
  <c r="H28" i="2"/>
  <c r="F28" i="2"/>
  <c r="G26" i="2"/>
  <c r="H26" i="2"/>
  <c r="F26" i="2"/>
  <c r="O39" i="1"/>
  <c r="N40" i="1"/>
  <c r="G39" i="1"/>
  <c r="N39" i="1" s="1"/>
  <c r="I55" i="1"/>
  <c r="I40" i="1"/>
  <c r="I42" i="1" s="1"/>
  <c r="O37" i="1"/>
  <c r="O38" i="1" s="1"/>
  <c r="O40" i="1" s="1"/>
  <c r="G40" i="1"/>
  <c r="G42" i="1" s="1"/>
  <c r="G29" i="2" l="1"/>
  <c r="G30" i="2" s="1"/>
  <c r="H27" i="2"/>
  <c r="H29" i="2" s="1"/>
  <c r="H30" i="2" s="1"/>
  <c r="I28" i="2"/>
  <c r="F29" i="2"/>
  <c r="F30" i="2" s="1"/>
  <c r="I26" i="2"/>
  <c r="J55" i="1"/>
  <c r="I57" i="1"/>
  <c r="I59" i="1" s="1"/>
  <c r="J39" i="1"/>
  <c r="I27" i="2" l="1"/>
</calcChain>
</file>

<file path=xl/sharedStrings.xml><?xml version="1.0" encoding="utf-8"?>
<sst xmlns="http://schemas.openxmlformats.org/spreadsheetml/2006/main" count="70" uniqueCount="40">
  <si>
    <t>eFt/db</t>
  </si>
  <si>
    <t>Önköltség</t>
  </si>
  <si>
    <t>Központi irányítás</t>
  </si>
  <si>
    <t>üzemi általános</t>
  </si>
  <si>
    <t>közvetlen költség</t>
  </si>
  <si>
    <t>B</t>
  </si>
  <si>
    <t>A</t>
  </si>
  <si>
    <t>központi irányítás</t>
  </si>
  <si>
    <t>vetítési alap kiszámítása</t>
  </si>
  <si>
    <t>b) feladat</t>
  </si>
  <si>
    <t>Teljes önktg</t>
  </si>
  <si>
    <t>kp-i ktg</t>
  </si>
  <si>
    <t>szűkített önktg</t>
  </si>
  <si>
    <t>üzemi ált ktg</t>
  </si>
  <si>
    <t>közvetlen önktg</t>
  </si>
  <si>
    <t>eft/db</t>
  </si>
  <si>
    <t xml:space="preserve">A </t>
  </si>
  <si>
    <t>Pótlékoló kulcs</t>
  </si>
  <si>
    <t>anyagmentes közvetlen költség</t>
  </si>
  <si>
    <t>a) feladat</t>
  </si>
  <si>
    <t>Ü3</t>
  </si>
  <si>
    <t>Ü2</t>
  </si>
  <si>
    <t>Ü1</t>
  </si>
  <si>
    <t>Ellenőrzés</t>
  </si>
  <si>
    <t>C</t>
  </si>
  <si>
    <t>Gépidő üzemen-ként</t>
  </si>
  <si>
    <t>Gépidő termékfajtánként (gó)</t>
  </si>
  <si>
    <t>Határozza meg a termék önköltségét!</t>
  </si>
  <si>
    <t>3. üzem</t>
  </si>
  <si>
    <t>2. üzem</t>
  </si>
  <si>
    <t xml:space="preserve">1. üzem </t>
  </si>
  <si>
    <t>Gépigény (gó/db)</t>
  </si>
  <si>
    <t>Termékek gépköltsége: (eFt)</t>
  </si>
  <si>
    <t>Önköltség: (eFt/db)</t>
  </si>
  <si>
    <t>(eFt/gó)</t>
  </si>
  <si>
    <t>(gó)</t>
  </si>
  <si>
    <t>Gépköltség felosztása (eFt)</t>
  </si>
  <si>
    <t>Q (ezer db)</t>
  </si>
  <si>
    <t>Közvetlen ktg (ezer Ft)</t>
  </si>
  <si>
    <t>üzemek gépktge (eFt)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</si>
</sst>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0" xfId="0" applyFill="1" applyBorder="1" applyAlignment="1">
      <alignment wrapText="1"/>
    </xf>
    <xf numFmtId="0" fontId="0" fillId="2" borderId="0" xfId="0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4991100" cy="3116580"/>
    <xdr:pic>
      <xdr:nvPicPr>
        <xdr:cNvPr id="2" name="Kép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4991100" cy="3116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0</xdr:rowOff>
    </xdr:from>
    <xdr:ext cx="5052060" cy="1005840"/>
    <xdr:pic>
      <xdr:nvPicPr>
        <xdr:cNvPr id="3" name="Kép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505206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2</xdr:row>
      <xdr:rowOff>9525</xdr:rowOff>
    </xdr:from>
    <xdr:ext cx="4991100" cy="899160"/>
    <xdr:pic>
      <xdr:nvPicPr>
        <xdr:cNvPr id="2" name="Kép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90525"/>
          <a:ext cx="4991100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209550</xdr:colOff>
      <xdr:row>0</xdr:row>
      <xdr:rowOff>114300</xdr:rowOff>
    </xdr:from>
    <xdr:ext cx="4808220" cy="1661160"/>
    <xdr:pic>
      <xdr:nvPicPr>
        <xdr:cNvPr id="3" name="Kép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114300"/>
          <a:ext cx="4808220" cy="166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8:P59"/>
  <sheetViews>
    <sheetView topLeftCell="C28" workbookViewId="0">
      <selection activeCell="I47" sqref="I47"/>
    </sheetView>
  </sheetViews>
  <sheetFormatPr defaultRowHeight="15" x14ac:dyDescent="0.25"/>
  <sheetData>
    <row r="28" spans="3:11" x14ac:dyDescent="0.25">
      <c r="C28" t="s">
        <v>19</v>
      </c>
    </row>
    <row r="30" spans="3:11" x14ac:dyDescent="0.25">
      <c r="D30" t="s">
        <v>8</v>
      </c>
      <c r="J30" t="s">
        <v>18</v>
      </c>
    </row>
    <row r="31" spans="3:11" x14ac:dyDescent="0.25">
      <c r="G31" t="s">
        <v>17</v>
      </c>
      <c r="J31" t="s">
        <v>16</v>
      </c>
      <c r="K31" t="s">
        <v>5</v>
      </c>
    </row>
    <row r="32" spans="3:11" x14ac:dyDescent="0.25">
      <c r="E32" t="s">
        <v>3</v>
      </c>
      <c r="G32">
        <f>6400/(9000+11000)</f>
        <v>0.32</v>
      </c>
      <c r="J32">
        <f>6000-2000</f>
        <v>4000</v>
      </c>
      <c r="K32">
        <f>10000-4000</f>
        <v>6000</v>
      </c>
    </row>
    <row r="33" spans="3:16" x14ac:dyDescent="0.25">
      <c r="E33" t="s">
        <v>7</v>
      </c>
      <c r="G33">
        <f>8000/(J32+K32)</f>
        <v>0.8</v>
      </c>
    </row>
    <row r="35" spans="3:16" x14ac:dyDescent="0.25">
      <c r="D35" t="s">
        <v>1</v>
      </c>
      <c r="L35" s="2"/>
      <c r="M35" s="2"/>
      <c r="N35" s="2" t="s">
        <v>6</v>
      </c>
      <c r="O35" s="2" t="s">
        <v>5</v>
      </c>
      <c r="P35" s="2" t="s">
        <v>15</v>
      </c>
    </row>
    <row r="36" spans="3:16" x14ac:dyDescent="0.25">
      <c r="G36" t="s">
        <v>6</v>
      </c>
      <c r="I36" t="s">
        <v>5</v>
      </c>
      <c r="L36" s="2" t="s">
        <v>14</v>
      </c>
      <c r="M36" s="2"/>
      <c r="N36" s="2">
        <v>3</v>
      </c>
      <c r="O36" s="2">
        <v>2</v>
      </c>
      <c r="P36" s="1"/>
    </row>
    <row r="37" spans="3:16" x14ac:dyDescent="0.25">
      <c r="D37" t="s">
        <v>4</v>
      </c>
      <c r="G37">
        <v>6000</v>
      </c>
      <c r="I37">
        <v>10000</v>
      </c>
      <c r="L37" s="2" t="s">
        <v>13</v>
      </c>
      <c r="M37" s="2"/>
      <c r="N37" s="2">
        <f>G38/2000</f>
        <v>1.44</v>
      </c>
      <c r="O37" s="2">
        <f>I38/5000</f>
        <v>0.70399999999999996</v>
      </c>
      <c r="P37" s="1"/>
    </row>
    <row r="38" spans="3:16" x14ac:dyDescent="0.25">
      <c r="D38" t="s">
        <v>3</v>
      </c>
      <c r="G38">
        <f>+G32*9000</f>
        <v>2880</v>
      </c>
      <c r="I38">
        <f>+G32*11000</f>
        <v>3520</v>
      </c>
      <c r="J38">
        <f>+I38+G38</f>
        <v>6400</v>
      </c>
      <c r="L38" s="2" t="s">
        <v>12</v>
      </c>
      <c r="M38" s="2"/>
      <c r="N38" s="2">
        <f>SUM(N36:N37)</f>
        <v>4.4399999999999995</v>
      </c>
      <c r="O38" s="2">
        <f>SUM(O36:O37)</f>
        <v>2.7039999999999997</v>
      </c>
      <c r="P38" s="1"/>
    </row>
    <row r="39" spans="3:16" x14ac:dyDescent="0.25">
      <c r="D39" t="s">
        <v>2</v>
      </c>
      <c r="G39">
        <f>+G33*J32</f>
        <v>3200</v>
      </c>
      <c r="I39">
        <f>+G33*K32</f>
        <v>4800</v>
      </c>
      <c r="J39">
        <f>+I39+G39</f>
        <v>8000</v>
      </c>
      <c r="L39" s="2" t="s">
        <v>11</v>
      </c>
      <c r="M39" s="2"/>
      <c r="N39" s="2">
        <f>G39/2000</f>
        <v>1.6</v>
      </c>
      <c r="O39" s="2">
        <f>I39/5000</f>
        <v>0.96</v>
      </c>
      <c r="P39" s="1"/>
    </row>
    <row r="40" spans="3:16" x14ac:dyDescent="0.25">
      <c r="G40">
        <f>SUM(G37:G39)</f>
        <v>12080</v>
      </c>
      <c r="I40">
        <f>SUM(I37:I39)</f>
        <v>18320</v>
      </c>
      <c r="L40" s="2" t="s">
        <v>10</v>
      </c>
      <c r="M40" s="2"/>
      <c r="N40" s="2">
        <f>SUM(N38:N39)</f>
        <v>6.0399999999999991</v>
      </c>
      <c r="O40" s="2">
        <f>SUM(O38:O39)</f>
        <v>3.6639999999999997</v>
      </c>
      <c r="P40" s="1"/>
    </row>
    <row r="42" spans="3:16" x14ac:dyDescent="0.25">
      <c r="D42" t="s">
        <v>1</v>
      </c>
      <c r="G42">
        <f>+G40/2000</f>
        <v>6.04</v>
      </c>
      <c r="H42" t="s">
        <v>0</v>
      </c>
      <c r="I42">
        <f>+I40/5000</f>
        <v>3.6640000000000001</v>
      </c>
      <c r="J42" t="s">
        <v>0</v>
      </c>
    </row>
    <row r="45" spans="3:16" x14ac:dyDescent="0.25">
      <c r="C45" t="s">
        <v>9</v>
      </c>
    </row>
    <row r="47" spans="3:16" x14ac:dyDescent="0.25">
      <c r="D47" t="s">
        <v>8</v>
      </c>
    </row>
    <row r="49" spans="4:10" x14ac:dyDescent="0.25">
      <c r="E49" t="s">
        <v>3</v>
      </c>
      <c r="G49">
        <f>6400/(400+1200)</f>
        <v>4</v>
      </c>
    </row>
    <row r="50" spans="4:10" x14ac:dyDescent="0.25">
      <c r="E50" t="s">
        <v>7</v>
      </c>
      <c r="G50">
        <f>8000/(6000+10000)</f>
        <v>0.5</v>
      </c>
    </row>
    <row r="52" spans="4:10" x14ac:dyDescent="0.25">
      <c r="D52" t="s">
        <v>1</v>
      </c>
    </row>
    <row r="53" spans="4:10" x14ac:dyDescent="0.25">
      <c r="G53" t="s">
        <v>6</v>
      </c>
      <c r="I53" t="s">
        <v>5</v>
      </c>
    </row>
    <row r="54" spans="4:10" x14ac:dyDescent="0.25">
      <c r="D54" t="s">
        <v>4</v>
      </c>
      <c r="G54">
        <v>6000</v>
      </c>
      <c r="I54">
        <v>10000</v>
      </c>
    </row>
    <row r="55" spans="4:10" x14ac:dyDescent="0.25">
      <c r="D55" t="s">
        <v>3</v>
      </c>
      <c r="G55">
        <f>+G49*400</f>
        <v>1600</v>
      </c>
      <c r="I55">
        <f>+G49*1200</f>
        <v>4800</v>
      </c>
      <c r="J55">
        <f>+I55+G55</f>
        <v>6400</v>
      </c>
    </row>
    <row r="56" spans="4:10" x14ac:dyDescent="0.25">
      <c r="D56" t="s">
        <v>2</v>
      </c>
      <c r="G56">
        <f>+G50*6000</f>
        <v>3000</v>
      </c>
      <c r="I56">
        <f>+G50*10000</f>
        <v>5000</v>
      </c>
      <c r="J56">
        <f>+I56+G56</f>
        <v>8000</v>
      </c>
    </row>
    <row r="57" spans="4:10" x14ac:dyDescent="0.25">
      <c r="G57">
        <f>SUM(G54:G56)</f>
        <v>10600</v>
      </c>
      <c r="I57">
        <f>SUM(I54:I56)</f>
        <v>19800</v>
      </c>
    </row>
    <row r="59" spans="4:10" x14ac:dyDescent="0.25">
      <c r="D59" t="s">
        <v>1</v>
      </c>
      <c r="G59">
        <f>+G57/2000</f>
        <v>5.3</v>
      </c>
      <c r="H59" t="s">
        <v>0</v>
      </c>
      <c r="I59">
        <f>+I57/5000</f>
        <v>3.96</v>
      </c>
      <c r="J59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9:J30"/>
  <sheetViews>
    <sheetView tabSelected="1" workbookViewId="0">
      <selection activeCell="L20" sqref="L20"/>
    </sheetView>
  </sheetViews>
  <sheetFormatPr defaultRowHeight="15" x14ac:dyDescent="0.25"/>
  <cols>
    <col min="3" max="3" width="5.28515625" customWidth="1"/>
    <col min="5" max="5" width="12" customWidth="1"/>
    <col min="9" max="9" width="9.5703125" customWidth="1"/>
    <col min="10" max="10" width="11" customWidth="1"/>
  </cols>
  <sheetData>
    <row r="9" spans="4:9" x14ac:dyDescent="0.25">
      <c r="E9" t="s">
        <v>31</v>
      </c>
    </row>
    <row r="10" spans="4:9" x14ac:dyDescent="0.25">
      <c r="E10" s="19"/>
      <c r="F10" s="18" t="s">
        <v>6</v>
      </c>
      <c r="G10" s="18" t="s">
        <v>5</v>
      </c>
      <c r="H10" s="17" t="s">
        <v>24</v>
      </c>
      <c r="I10" s="12" t="s">
        <v>39</v>
      </c>
    </row>
    <row r="11" spans="4:9" x14ac:dyDescent="0.25">
      <c r="E11" s="8" t="s">
        <v>30</v>
      </c>
      <c r="F11" s="16">
        <v>3</v>
      </c>
      <c r="G11" s="16">
        <v>2</v>
      </c>
      <c r="H11" s="15">
        <v>4</v>
      </c>
      <c r="I11" s="12">
        <v>1600</v>
      </c>
    </row>
    <row r="12" spans="4:9" x14ac:dyDescent="0.25">
      <c r="E12" s="8" t="s">
        <v>29</v>
      </c>
      <c r="F12" s="16">
        <v>3</v>
      </c>
      <c r="G12" s="16">
        <v>1</v>
      </c>
      <c r="H12" s="15">
        <v>2</v>
      </c>
      <c r="I12" s="12">
        <v>2200</v>
      </c>
    </row>
    <row r="13" spans="4:9" x14ac:dyDescent="0.25">
      <c r="E13" s="5" t="s">
        <v>28</v>
      </c>
      <c r="F13" s="14">
        <v>5</v>
      </c>
      <c r="G13" s="14">
        <v>4</v>
      </c>
      <c r="H13" s="13">
        <v>3</v>
      </c>
      <c r="I13" s="12">
        <v>2000</v>
      </c>
    </row>
    <row r="14" spans="4:9" x14ac:dyDescent="0.25">
      <c r="D14" s="12" t="s">
        <v>38</v>
      </c>
      <c r="E14" s="12"/>
      <c r="F14" s="12">
        <v>8000</v>
      </c>
      <c r="G14" s="12">
        <v>12000</v>
      </c>
      <c r="H14" s="12">
        <v>10000</v>
      </c>
      <c r="I14" s="12"/>
    </row>
    <row r="15" spans="4:9" x14ac:dyDescent="0.25">
      <c r="D15" s="12"/>
      <c r="E15" s="12" t="s">
        <v>37</v>
      </c>
      <c r="F15" s="12">
        <v>400</v>
      </c>
      <c r="G15" s="12">
        <v>600</v>
      </c>
      <c r="H15" s="12">
        <v>200</v>
      </c>
    </row>
    <row r="17" spans="2:10" x14ac:dyDescent="0.25">
      <c r="B17" t="s">
        <v>27</v>
      </c>
    </row>
    <row r="19" spans="2:10" ht="46.5" customHeight="1" x14ac:dyDescent="0.25">
      <c r="D19" s="20" t="s">
        <v>26</v>
      </c>
      <c r="E19" s="21"/>
      <c r="F19" s="10" t="s">
        <v>6</v>
      </c>
      <c r="G19" s="10" t="s">
        <v>5</v>
      </c>
      <c r="H19" s="9" t="s">
        <v>24</v>
      </c>
      <c r="I19" s="11" t="s">
        <v>25</v>
      </c>
      <c r="J19" s="11" t="s">
        <v>17</v>
      </c>
    </row>
    <row r="20" spans="2:10" x14ac:dyDescent="0.25">
      <c r="D20" s="8"/>
      <c r="E20" s="7" t="s">
        <v>22</v>
      </c>
      <c r="F20" s="7">
        <f>$F11*F$15</f>
        <v>1200</v>
      </c>
      <c r="G20" s="7">
        <f t="shared" ref="G20:H22" si="0">G11*G$15</f>
        <v>1200</v>
      </c>
      <c r="H20" s="6">
        <f t="shared" si="0"/>
        <v>800</v>
      </c>
      <c r="I20">
        <f>SUM(F20:H20)</f>
        <v>3200</v>
      </c>
      <c r="J20">
        <f>I11/I20</f>
        <v>0.5</v>
      </c>
    </row>
    <row r="21" spans="2:10" x14ac:dyDescent="0.25">
      <c r="D21" s="8"/>
      <c r="E21" s="7" t="s">
        <v>21</v>
      </c>
      <c r="F21" s="7">
        <f>F12*F$15</f>
        <v>1200</v>
      </c>
      <c r="G21" s="7">
        <f t="shared" si="0"/>
        <v>600</v>
      </c>
      <c r="H21" s="6">
        <f t="shared" si="0"/>
        <v>400</v>
      </c>
      <c r="I21">
        <f>SUM(F21:H21)</f>
        <v>2200</v>
      </c>
      <c r="J21">
        <f>I12/I21</f>
        <v>1</v>
      </c>
    </row>
    <row r="22" spans="2:10" x14ac:dyDescent="0.25">
      <c r="D22" s="5"/>
      <c r="E22" s="4" t="s">
        <v>20</v>
      </c>
      <c r="F22" s="4">
        <f>F13*F$15</f>
        <v>2000</v>
      </c>
      <c r="G22" s="4">
        <f t="shared" si="0"/>
        <v>2400</v>
      </c>
      <c r="H22" s="3">
        <f t="shared" si="0"/>
        <v>600</v>
      </c>
      <c r="I22">
        <f>SUM(F22:H22)</f>
        <v>5000</v>
      </c>
      <c r="J22">
        <f>I13/I22</f>
        <v>0.4</v>
      </c>
    </row>
    <row r="23" spans="2:10" x14ac:dyDescent="0.25">
      <c r="I23" t="s">
        <v>35</v>
      </c>
      <c r="J23" t="s">
        <v>34</v>
      </c>
    </row>
    <row r="25" spans="2:10" ht="48" customHeight="1" x14ac:dyDescent="0.25">
      <c r="D25" s="20" t="s">
        <v>36</v>
      </c>
      <c r="E25" s="21"/>
      <c r="F25" s="10" t="s">
        <v>6</v>
      </c>
      <c r="G25" s="10" t="s">
        <v>5</v>
      </c>
      <c r="H25" s="9" t="s">
        <v>24</v>
      </c>
      <c r="I25" t="s">
        <v>23</v>
      </c>
    </row>
    <row r="26" spans="2:10" x14ac:dyDescent="0.25">
      <c r="D26" s="8"/>
      <c r="E26" s="7" t="s">
        <v>22</v>
      </c>
      <c r="F26" s="7">
        <f>$J20*F$20</f>
        <v>600</v>
      </c>
      <c r="G26" s="7">
        <f t="shared" ref="G26:H28" si="1">$J20*G20</f>
        <v>600</v>
      </c>
      <c r="H26" s="6">
        <f t="shared" si="1"/>
        <v>400</v>
      </c>
      <c r="I26">
        <f>SUM(F26:H26)</f>
        <v>1600</v>
      </c>
    </row>
    <row r="27" spans="2:10" x14ac:dyDescent="0.25">
      <c r="D27" s="8"/>
      <c r="E27" s="7" t="s">
        <v>21</v>
      </c>
      <c r="F27" s="7">
        <f>$J21*F21</f>
        <v>1200</v>
      </c>
      <c r="G27" s="7">
        <f t="shared" si="1"/>
        <v>600</v>
      </c>
      <c r="H27" s="6">
        <f t="shared" si="1"/>
        <v>400</v>
      </c>
      <c r="I27">
        <f>SUM(F27:H27)</f>
        <v>2200</v>
      </c>
    </row>
    <row r="28" spans="2:10" x14ac:dyDescent="0.25">
      <c r="D28" s="5"/>
      <c r="E28" s="4" t="s">
        <v>20</v>
      </c>
      <c r="F28" s="4">
        <f>$J22*F22</f>
        <v>800</v>
      </c>
      <c r="G28" s="4">
        <f t="shared" si="1"/>
        <v>960</v>
      </c>
      <c r="H28" s="3">
        <f t="shared" si="1"/>
        <v>240</v>
      </c>
      <c r="I28">
        <f>SUM(F28:H28)</f>
        <v>2000</v>
      </c>
    </row>
    <row r="29" spans="2:10" ht="27" customHeight="1" x14ac:dyDescent="0.25">
      <c r="D29" s="21" t="s">
        <v>32</v>
      </c>
      <c r="E29" s="21"/>
      <c r="F29">
        <f>SUM(F26:F28)</f>
        <v>2600</v>
      </c>
      <c r="G29">
        <f>SUM(G26:G28)</f>
        <v>2160</v>
      </c>
      <c r="H29">
        <f>SUM(H26:H28)</f>
        <v>1040</v>
      </c>
    </row>
    <row r="30" spans="2:10" x14ac:dyDescent="0.25">
      <c r="D30" s="22" t="s">
        <v>33</v>
      </c>
      <c r="E30" s="22"/>
      <c r="F30">
        <f>F29/F15</f>
        <v>6.5</v>
      </c>
      <c r="G30">
        <f>G29/G15</f>
        <v>3.6</v>
      </c>
      <c r="H30">
        <f>H29/H15</f>
        <v>5.2</v>
      </c>
    </row>
  </sheetData>
  <mergeCells count="4">
    <mergeCell ref="D19:E19"/>
    <mergeCell ref="D25:E25"/>
    <mergeCell ref="D29:E29"/>
    <mergeCell ref="D30:E30"/>
  </mergeCells>
  <pageMargins left="0.25" right="0.25" top="0.75" bottom="0.75" header="0.3" footer="0.3"/>
  <pageSetup paperSize="9" scale="95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pótlékoló</vt:lpstr>
      <vt:lpstr>pótlékoló2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oktato</dc:creator>
  <cp:lastModifiedBy>Katona Ferenc</cp:lastModifiedBy>
  <cp:lastPrinted>2021-09-30T13:38:10Z</cp:lastPrinted>
  <dcterms:created xsi:type="dcterms:W3CDTF">2019-09-11T12:12:24Z</dcterms:created>
  <dcterms:modified xsi:type="dcterms:W3CDTF">2021-10-06T09:28:02Z</dcterms:modified>
</cp:coreProperties>
</file>