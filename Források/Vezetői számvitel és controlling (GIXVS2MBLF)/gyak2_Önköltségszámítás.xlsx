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trolling\"/>
    </mc:Choice>
  </mc:AlternateContent>
  <bookViews>
    <workbookView xWindow="0" yWindow="0" windowWidth="20490" windowHeight="7350" activeTab="1"/>
  </bookViews>
  <sheets>
    <sheet name="többlépcsős osztó" sheetId="1" r:id="rId1"/>
    <sheet name="egyenértékszámos" sheetId="3" r:id="rId2"/>
    <sheet name="Norma alapú kalk. (2)" sheetId="6" r:id="rId3"/>
  </sheets>
  <calcPr calcId="162913"/>
</workbook>
</file>

<file path=xl/calcChain.xml><?xml version="1.0" encoding="utf-8"?>
<calcChain xmlns="http://schemas.openxmlformats.org/spreadsheetml/2006/main">
  <c r="I43" i="6" l="1"/>
  <c r="G44" i="6"/>
  <c r="I44" i="6" s="1"/>
  <c r="G43" i="6"/>
  <c r="G45" i="6" s="1"/>
  <c r="G30" i="6" s="1"/>
  <c r="K42" i="6"/>
  <c r="K43" i="6" s="1"/>
  <c r="G42" i="6"/>
  <c r="I42" i="6" s="1"/>
  <c r="I38" i="6"/>
  <c r="G38" i="6"/>
  <c r="I37" i="6"/>
  <c r="I39" i="6" s="1"/>
  <c r="G37" i="6"/>
  <c r="G39" i="6" s="1"/>
  <c r="H31" i="6"/>
  <c r="H32" i="6" s="1"/>
  <c r="I30" i="6"/>
  <c r="I31" i="6" s="1"/>
  <c r="I32" i="6" s="1"/>
  <c r="I45" i="6" l="1"/>
  <c r="G32" i="6" s="1"/>
  <c r="G31" i="6" s="1"/>
  <c r="I34" i="6"/>
  <c r="I33" i="6"/>
  <c r="G40" i="6"/>
  <c r="F30" i="6" s="1"/>
  <c r="H34" i="6"/>
  <c r="H33" i="6"/>
  <c r="J33" i="6" s="1"/>
  <c r="I40" i="6"/>
  <c r="F32" i="6" s="1"/>
  <c r="J30" i="6"/>
  <c r="K44" i="6"/>
  <c r="K45" i="6" s="1"/>
  <c r="G34" i="6" s="1"/>
  <c r="J31" i="6"/>
  <c r="G33" i="6" l="1"/>
  <c r="K33" i="6" s="1"/>
  <c r="K30" i="6"/>
  <c r="F31" i="6"/>
  <c r="K31" i="6" s="1"/>
  <c r="F34" i="6"/>
  <c r="J32" i="6"/>
  <c r="K32" i="6" s="1"/>
  <c r="J34" i="6"/>
  <c r="K34" i="6" l="1"/>
  <c r="K28" i="1" l="1"/>
  <c r="K27" i="1"/>
  <c r="I32" i="3" l="1"/>
  <c r="I33" i="3"/>
  <c r="I34" i="3"/>
  <c r="I31" i="3"/>
  <c r="G26" i="3"/>
  <c r="I35" i="3" l="1"/>
  <c r="I37" i="3" s="1"/>
  <c r="G40" i="3" l="1"/>
  <c r="I40" i="3" s="1"/>
  <c r="G42" i="3"/>
  <c r="I42" i="3" s="1"/>
  <c r="G39" i="3"/>
  <c r="I39" i="3" s="1"/>
  <c r="I43" i="3" s="1"/>
  <c r="G41" i="3"/>
  <c r="I41" i="3" s="1"/>
</calcChain>
</file>

<file path=xl/sharedStrings.xml><?xml version="1.0" encoding="utf-8"?>
<sst xmlns="http://schemas.openxmlformats.org/spreadsheetml/2006/main" count="99" uniqueCount="65">
  <si>
    <t>A harmadik fázisban elkészült 4.500 darab késztermék előállítása 21.000 eFt-ba kerül.</t>
  </si>
  <si>
    <t>1. példa</t>
  </si>
  <si>
    <t>Határozza meg a késztermék önköltségét!</t>
  </si>
  <si>
    <t>Megoldás</t>
  </si>
  <si>
    <t>1. munkafázis</t>
  </si>
  <si>
    <t>gyártott, db</t>
  </si>
  <si>
    <t>termelési költség, eFt</t>
  </si>
  <si>
    <t>2. munkafázis</t>
  </si>
  <si>
    <t>3. munkafázis</t>
  </si>
  <si>
    <t>Többlépcsős osztókalkulációs</t>
  </si>
  <si>
    <t>1. lépés</t>
  </si>
  <si>
    <t>10000/5000 = 2 eFt/db</t>
  </si>
  <si>
    <t>2. lépés</t>
  </si>
  <si>
    <t>3. lépés</t>
  </si>
  <si>
    <t>Nytó készlet érték</t>
  </si>
  <si>
    <t>eFt</t>
  </si>
  <si>
    <t>Időszakban felmerült költség</t>
  </si>
  <si>
    <t>Záró készlet érték</t>
  </si>
  <si>
    <t>Az időszakra terhelt költség</t>
  </si>
  <si>
    <t>4000 + 11500 - 5000 = 10500</t>
  </si>
  <si>
    <t>Termelés vezértermékben</t>
  </si>
  <si>
    <t>A</t>
  </si>
  <si>
    <t>B</t>
  </si>
  <si>
    <t>C</t>
  </si>
  <si>
    <t>D</t>
  </si>
  <si>
    <t>Összesen</t>
  </si>
  <si>
    <t>Önköltség vezértermékben</t>
  </si>
  <si>
    <t>Ft/db</t>
  </si>
  <si>
    <t>Önköltség</t>
  </si>
  <si>
    <t>Ellenőrzés</t>
  </si>
  <si>
    <t>Egy termék előállítására három munkafázisban kerül sor.</t>
  </si>
  <si>
    <t>Az első munkafázisban 5000 db félkész termék előállítása 10.000 eFt termelési költséggel jár.</t>
  </si>
  <si>
    <t>A második munkafázisban elkészült 5.000 darab termék előállítása 12.000 eFt-ba kerül, a záró befejezetlen termelés értéke 1.200 eFt</t>
  </si>
  <si>
    <t>A nyitó befejezetlen termelés értéke 2.000 eFt, a záró befejezetlen termelési érték 500 eFt</t>
  </si>
  <si>
    <t>Idószakra elszámolt termelési költség</t>
  </si>
  <si>
    <t>+2000+21000-500 = 22500</t>
  </si>
  <si>
    <t>12000-1200 = 10800</t>
  </si>
  <si>
    <t xml:space="preserve">(5000*2 eFt/db + 10800)/5000 = 4,16 eFt/db </t>
  </si>
  <si>
    <t>(4500*4,16 eFt/db + 22500)/4500 = 9,16 eFt/db</t>
  </si>
  <si>
    <t>Nettó anyagköltség</t>
  </si>
  <si>
    <t>mínusz hulladék költsége</t>
  </si>
  <si>
    <t>Bruttó anyag költség</t>
  </si>
  <si>
    <t>kg/db</t>
  </si>
  <si>
    <t>bruttó anyagnorma B</t>
  </si>
  <si>
    <t>Normaeltérés B 14 kg/db-ra csökken</t>
  </si>
  <si>
    <t>bruttó anyagnorma A</t>
  </si>
  <si>
    <t>Normaváltozás A 8 kg/db</t>
  </si>
  <si>
    <t>Közvetlen bér járulékai</t>
  </si>
  <si>
    <t>(0,8óra=48perc)</t>
  </si>
  <si>
    <t>Közvetlen bér 2. fázis</t>
  </si>
  <si>
    <t>(1óra=60perc)</t>
  </si>
  <si>
    <t>Közvetlen bér, 1. fázis</t>
  </si>
  <si>
    <t>Közvetlen anyag B</t>
  </si>
  <si>
    <t>Közvetlen anyag A</t>
  </si>
  <si>
    <t>Tényleges önköltség</t>
  </si>
  <si>
    <t>Normaletérés</t>
  </si>
  <si>
    <t>Folyó norma</t>
  </si>
  <si>
    <t>Normaváltozás</t>
  </si>
  <si>
    <t>Norma</t>
  </si>
  <si>
    <t>Megnevezés</t>
  </si>
  <si>
    <t>Normaváltozás B +150%Ft/kg</t>
  </si>
  <si>
    <t>Qvt</t>
  </si>
  <si>
    <t>Q</t>
  </si>
  <si>
    <t>Ktg</t>
  </si>
  <si>
    <t>Önktg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</si>
</sst>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0" fillId="0" borderId="0" xfId="0" quotePrefix="1"/>
    <xf numFmtId="0" fontId="0" fillId="0" borderId="0" xfId="0" applyAlignment="1"/>
    <xf numFmtId="3" fontId="1" fillId="0" borderId="0" xfId="0" applyNumberFormat="1" applyFont="1"/>
    <xf numFmtId="0" fontId="1" fillId="0" borderId="0" xfId="0" applyFont="1"/>
    <xf numFmtId="0" fontId="1" fillId="0" borderId="0" xfId="0" quotePrefix="1" applyFon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16</xdr:col>
      <xdr:colOff>358140</xdr:colOff>
      <xdr:row>4</xdr:row>
      <xdr:rowOff>152400</xdr:rowOff>
    </xdr:to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731520"/>
          <a:ext cx="21869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106680</xdr:colOff>
      <xdr:row>19</xdr:row>
      <xdr:rowOff>76200</xdr:rowOff>
    </xdr:to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1520"/>
          <a:ext cx="508254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4568190" cy="4099560"/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568190" cy="409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26</xdr:row>
      <xdr:rowOff>0</xdr:rowOff>
    </xdr:from>
    <xdr:ext cx="4568190" cy="4099560"/>
    <xdr:pic>
      <xdr:nvPicPr>
        <xdr:cNvPr id="3" name="Kép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4953000"/>
          <a:ext cx="4568190" cy="409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opLeftCell="A11" workbookViewId="0">
      <selection activeCell="F28" sqref="F28"/>
    </sheetView>
  </sheetViews>
  <sheetFormatPr defaultRowHeight="15" x14ac:dyDescent="0.25"/>
  <cols>
    <col min="3" max="3" width="8.85546875" customWidth="1"/>
    <col min="6" max="6" width="10" bestFit="1" customWidth="1"/>
  </cols>
  <sheetData>
    <row r="2" spans="2:12" x14ac:dyDescent="0.25">
      <c r="B2" t="s">
        <v>1</v>
      </c>
    </row>
    <row r="4" spans="2:12" x14ac:dyDescent="0.25">
      <c r="C4" s="3" t="s">
        <v>30</v>
      </c>
    </row>
    <row r="5" spans="2:12" x14ac:dyDescent="0.25">
      <c r="C5" t="s">
        <v>31</v>
      </c>
    </row>
    <row r="6" spans="2:12" x14ac:dyDescent="0.25">
      <c r="C6" t="s">
        <v>32</v>
      </c>
    </row>
    <row r="7" spans="2:12" x14ac:dyDescent="0.25">
      <c r="C7" t="s">
        <v>0</v>
      </c>
    </row>
    <row r="8" spans="2:12" x14ac:dyDescent="0.25">
      <c r="C8" t="s">
        <v>33</v>
      </c>
    </row>
    <row r="10" spans="2:12" x14ac:dyDescent="0.25">
      <c r="C10" t="s">
        <v>2</v>
      </c>
    </row>
    <row r="14" spans="2:12" x14ac:dyDescent="0.25">
      <c r="C14" t="s">
        <v>3</v>
      </c>
    </row>
    <row r="15" spans="2:12" x14ac:dyDescent="0.25">
      <c r="F15" s="5" t="s">
        <v>5</v>
      </c>
      <c r="G15" s="5" t="s">
        <v>6</v>
      </c>
      <c r="H15" s="5"/>
      <c r="I15" s="5"/>
      <c r="J15" s="5" t="s">
        <v>34</v>
      </c>
      <c r="K15" s="5"/>
      <c r="L15" s="5"/>
    </row>
    <row r="16" spans="2:12" x14ac:dyDescent="0.25">
      <c r="D16" t="s">
        <v>4</v>
      </c>
      <c r="F16" s="5">
        <v>5000</v>
      </c>
      <c r="G16" s="4">
        <v>10000</v>
      </c>
      <c r="H16" s="5"/>
      <c r="I16" s="5"/>
      <c r="J16" s="5">
        <v>10000</v>
      </c>
      <c r="K16" s="5"/>
      <c r="L16" s="5"/>
    </row>
    <row r="17" spans="3:12" x14ac:dyDescent="0.25">
      <c r="D17" t="s">
        <v>7</v>
      </c>
      <c r="F17" s="5">
        <v>5000</v>
      </c>
      <c r="G17" s="4">
        <v>12000</v>
      </c>
      <c r="H17" s="5"/>
      <c r="I17" s="5"/>
      <c r="J17" s="6" t="s">
        <v>36</v>
      </c>
      <c r="K17" s="5"/>
      <c r="L17" s="5"/>
    </row>
    <row r="18" spans="3:12" x14ac:dyDescent="0.25">
      <c r="D18" t="s">
        <v>8</v>
      </c>
      <c r="F18" s="5">
        <v>4500</v>
      </c>
      <c r="G18" s="4">
        <v>21000</v>
      </c>
      <c r="H18" s="5"/>
      <c r="I18" s="5"/>
      <c r="J18" s="6" t="s">
        <v>35</v>
      </c>
      <c r="K18" s="5"/>
      <c r="L18" s="5"/>
    </row>
    <row r="19" spans="3:12" x14ac:dyDescent="0.25">
      <c r="F19" s="5"/>
      <c r="G19" s="5"/>
      <c r="H19" s="5"/>
      <c r="I19" s="5"/>
      <c r="J19" s="5"/>
      <c r="K19" s="5"/>
      <c r="L19" s="5"/>
    </row>
    <row r="20" spans="3:12" x14ac:dyDescent="0.25">
      <c r="F20" s="5"/>
      <c r="G20" s="5"/>
      <c r="H20" s="4"/>
      <c r="I20" s="5"/>
      <c r="J20" s="5"/>
      <c r="K20" s="5"/>
      <c r="L20" s="5"/>
    </row>
    <row r="21" spans="3:12" x14ac:dyDescent="0.25">
      <c r="F21" s="5"/>
      <c r="G21" s="5"/>
      <c r="H21" s="4"/>
      <c r="I21" s="5"/>
      <c r="J21" s="5"/>
      <c r="K21" s="5"/>
      <c r="L21" s="5"/>
    </row>
    <row r="22" spans="3:12" x14ac:dyDescent="0.25">
      <c r="F22" s="5"/>
      <c r="G22" s="5"/>
      <c r="H22" s="5"/>
      <c r="I22" s="5"/>
      <c r="J22" s="5"/>
      <c r="K22" s="5"/>
      <c r="L22" s="5"/>
    </row>
    <row r="23" spans="3:12" x14ac:dyDescent="0.25">
      <c r="F23" s="5"/>
      <c r="G23" s="5"/>
      <c r="H23" s="5"/>
      <c r="I23" s="5"/>
      <c r="J23" s="5"/>
      <c r="K23" s="5"/>
      <c r="L23" s="5"/>
    </row>
    <row r="24" spans="3:12" x14ac:dyDescent="0.25">
      <c r="C24" t="s">
        <v>9</v>
      </c>
      <c r="F24" s="5"/>
      <c r="G24" s="5"/>
      <c r="H24" s="5"/>
      <c r="I24" s="5"/>
      <c r="J24" s="5"/>
      <c r="K24" s="5"/>
      <c r="L24" s="5"/>
    </row>
    <row r="25" spans="3:12" x14ac:dyDescent="0.25">
      <c r="F25" s="5"/>
      <c r="G25" s="5"/>
      <c r="H25" s="5"/>
      <c r="I25" s="5"/>
      <c r="J25" s="5"/>
      <c r="K25" s="5"/>
      <c r="L25" s="5"/>
    </row>
    <row r="26" spans="3:12" x14ac:dyDescent="0.25">
      <c r="D26" t="s">
        <v>10</v>
      </c>
      <c r="F26" s="5"/>
      <c r="G26" s="6" t="s">
        <v>11</v>
      </c>
      <c r="H26" s="5"/>
      <c r="I26" s="5"/>
      <c r="J26" s="5"/>
      <c r="K26" s="5"/>
      <c r="L26" s="5"/>
    </row>
    <row r="27" spans="3:12" x14ac:dyDescent="0.25">
      <c r="D27" t="s">
        <v>12</v>
      </c>
      <c r="F27" s="5"/>
      <c r="G27" s="6" t="s">
        <v>37</v>
      </c>
      <c r="H27" s="5"/>
      <c r="I27" s="5"/>
      <c r="J27" s="5"/>
      <c r="K27" s="5">
        <f>20800/5000</f>
        <v>4.16</v>
      </c>
      <c r="L27" s="5"/>
    </row>
    <row r="28" spans="3:12" x14ac:dyDescent="0.25">
      <c r="D28" t="s">
        <v>13</v>
      </c>
      <c r="F28" s="5"/>
      <c r="G28" s="6" t="s">
        <v>38</v>
      </c>
      <c r="H28" s="5"/>
      <c r="I28" s="5"/>
      <c r="J28" s="5"/>
      <c r="K28" s="5">
        <f>(4500*4.16+22500)/4500</f>
        <v>9.16</v>
      </c>
      <c r="L28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2:J43"/>
  <sheetViews>
    <sheetView tabSelected="1" topLeftCell="A25" workbookViewId="0">
      <selection activeCell="M35" sqref="M35"/>
    </sheetView>
  </sheetViews>
  <sheetFormatPr defaultRowHeight="15" x14ac:dyDescent="0.25"/>
  <cols>
    <col min="9" max="9" width="10.28515625" customWidth="1"/>
  </cols>
  <sheetData>
    <row r="22" spans="4:9" x14ac:dyDescent="0.25">
      <c r="D22" t="s">
        <v>14</v>
      </c>
      <c r="G22" s="1">
        <v>4000</v>
      </c>
      <c r="H22" t="s">
        <v>15</v>
      </c>
    </row>
    <row r="23" spans="4:9" x14ac:dyDescent="0.25">
      <c r="D23" t="s">
        <v>16</v>
      </c>
      <c r="G23" s="1">
        <v>11500</v>
      </c>
      <c r="H23" t="s">
        <v>15</v>
      </c>
    </row>
    <row r="24" spans="4:9" x14ac:dyDescent="0.25">
      <c r="D24" t="s">
        <v>17</v>
      </c>
      <c r="G24" s="1">
        <v>5000</v>
      </c>
      <c r="H24" t="s">
        <v>15</v>
      </c>
    </row>
    <row r="26" spans="4:9" x14ac:dyDescent="0.25">
      <c r="D26" t="s">
        <v>18</v>
      </c>
      <c r="G26" s="1">
        <f>+G23+G22-G24</f>
        <v>10500</v>
      </c>
      <c r="H26" t="s">
        <v>15</v>
      </c>
    </row>
    <row r="27" spans="4:9" x14ac:dyDescent="0.25">
      <c r="G27" s="2" t="s">
        <v>19</v>
      </c>
    </row>
    <row r="29" spans="4:9" x14ac:dyDescent="0.25">
      <c r="D29" t="s">
        <v>20</v>
      </c>
    </row>
    <row r="30" spans="4:9" x14ac:dyDescent="0.25">
      <c r="H30" t="s">
        <v>62</v>
      </c>
      <c r="I30" t="s">
        <v>61</v>
      </c>
    </row>
    <row r="31" spans="4:9" x14ac:dyDescent="0.25">
      <c r="F31" t="s">
        <v>21</v>
      </c>
      <c r="G31">
        <v>0.5</v>
      </c>
      <c r="H31">
        <v>20000</v>
      </c>
      <c r="I31">
        <f>+H31*G31</f>
        <v>10000</v>
      </c>
    </row>
    <row r="32" spans="4:9" x14ac:dyDescent="0.25">
      <c r="F32" t="s">
        <v>22</v>
      </c>
      <c r="G32">
        <v>1</v>
      </c>
      <c r="H32">
        <v>25000</v>
      </c>
      <c r="I32">
        <f t="shared" ref="I32:I34" si="0">+H32*G32</f>
        <v>25000</v>
      </c>
    </row>
    <row r="33" spans="4:10" x14ac:dyDescent="0.25">
      <c r="F33" t="s">
        <v>23</v>
      </c>
      <c r="G33">
        <v>0.8</v>
      </c>
      <c r="H33">
        <v>20000</v>
      </c>
      <c r="I33">
        <f t="shared" si="0"/>
        <v>16000</v>
      </c>
    </row>
    <row r="34" spans="4:10" x14ac:dyDescent="0.25">
      <c r="F34" t="s">
        <v>24</v>
      </c>
      <c r="G34">
        <v>1.9</v>
      </c>
      <c r="H34">
        <v>10000</v>
      </c>
      <c r="I34">
        <f t="shared" si="0"/>
        <v>19000</v>
      </c>
    </row>
    <row r="35" spans="4:10" x14ac:dyDescent="0.25">
      <c r="F35" t="s">
        <v>25</v>
      </c>
      <c r="I35">
        <f>SUM(I31:I34)</f>
        <v>70000</v>
      </c>
    </row>
    <row r="37" spans="4:10" x14ac:dyDescent="0.25">
      <c r="D37" t="s">
        <v>26</v>
      </c>
      <c r="I37">
        <f>+G26*1000/I35</f>
        <v>150</v>
      </c>
      <c r="J37" t="s">
        <v>27</v>
      </c>
    </row>
    <row r="38" spans="4:10" x14ac:dyDescent="0.25">
      <c r="G38" t="s">
        <v>64</v>
      </c>
      <c r="I38" t="s">
        <v>63</v>
      </c>
    </row>
    <row r="39" spans="4:10" x14ac:dyDescent="0.25">
      <c r="D39" t="s">
        <v>28</v>
      </c>
      <c r="F39" t="s">
        <v>21</v>
      </c>
      <c r="G39">
        <f>+G31*I37</f>
        <v>75</v>
      </c>
      <c r="H39" t="s">
        <v>27</v>
      </c>
      <c r="I39" s="1">
        <f>+G39*H31</f>
        <v>1500000</v>
      </c>
      <c r="J39" t="s">
        <v>29</v>
      </c>
    </row>
    <row r="40" spans="4:10" x14ac:dyDescent="0.25">
      <c r="F40" t="s">
        <v>22</v>
      </c>
      <c r="G40">
        <f>+I37</f>
        <v>150</v>
      </c>
      <c r="H40" t="s">
        <v>27</v>
      </c>
      <c r="I40" s="1">
        <f>+G40*H32</f>
        <v>3750000</v>
      </c>
    </row>
    <row r="41" spans="4:10" x14ac:dyDescent="0.25">
      <c r="F41" t="s">
        <v>23</v>
      </c>
      <c r="G41">
        <f>+G33*I37</f>
        <v>120</v>
      </c>
      <c r="H41" t="s">
        <v>27</v>
      </c>
      <c r="I41" s="1">
        <f>+G41*H33</f>
        <v>2400000</v>
      </c>
    </row>
    <row r="42" spans="4:10" x14ac:dyDescent="0.25">
      <c r="F42" t="s">
        <v>24</v>
      </c>
      <c r="G42">
        <f>+G34*I37</f>
        <v>285</v>
      </c>
      <c r="H42" t="s">
        <v>27</v>
      </c>
      <c r="I42" s="1">
        <f>+G42*H34</f>
        <v>2850000</v>
      </c>
    </row>
    <row r="43" spans="4:10" x14ac:dyDescent="0.25">
      <c r="I43" s="1">
        <f>SUM(I39:I42)</f>
        <v>10500000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5:L46"/>
  <sheetViews>
    <sheetView topLeftCell="C16" workbookViewId="0">
      <selection activeCell="K29" sqref="K29"/>
    </sheetView>
  </sheetViews>
  <sheetFormatPr defaultRowHeight="15" x14ac:dyDescent="0.25"/>
  <cols>
    <col min="6" max="6" width="14.42578125" customWidth="1"/>
    <col min="7" max="7" width="9.5703125" bestFit="1" customWidth="1"/>
    <col min="8" max="8" width="13.42578125" bestFit="1" customWidth="1"/>
    <col min="9" max="9" width="11.42578125" bestFit="1" customWidth="1"/>
    <col min="10" max="10" width="12.28515625" bestFit="1" customWidth="1"/>
    <col min="11" max="11" width="17.5703125" bestFit="1" customWidth="1"/>
  </cols>
  <sheetData>
    <row r="25" spans="4:12" x14ac:dyDescent="0.25">
      <c r="H25" s="5"/>
      <c r="I25" s="5"/>
      <c r="J25" s="5"/>
      <c r="K25" s="5"/>
      <c r="L25" s="5"/>
    </row>
    <row r="26" spans="4:12" x14ac:dyDescent="0.25">
      <c r="H26" s="5"/>
      <c r="I26" s="5"/>
      <c r="J26" s="5"/>
      <c r="K26" s="5"/>
      <c r="L26" s="5"/>
    </row>
    <row r="28" spans="4:12" s="8" customFormat="1" ht="30" x14ac:dyDescent="0.25">
      <c r="D28" s="8" t="s">
        <v>59</v>
      </c>
      <c r="F28" s="8" t="s">
        <v>53</v>
      </c>
      <c r="G28" s="8" t="s">
        <v>52</v>
      </c>
      <c r="H28" s="8" t="s">
        <v>51</v>
      </c>
      <c r="I28" s="8" t="s">
        <v>49</v>
      </c>
      <c r="J28" s="8" t="s">
        <v>47</v>
      </c>
      <c r="K28" s="8" t="s">
        <v>25</v>
      </c>
      <c r="L28" s="9"/>
    </row>
    <row r="29" spans="4:12" x14ac:dyDescent="0.25">
      <c r="H29" t="s">
        <v>50</v>
      </c>
      <c r="I29" t="s">
        <v>48</v>
      </c>
      <c r="L29" s="5"/>
    </row>
    <row r="30" spans="4:12" x14ac:dyDescent="0.25">
      <c r="D30" s="14" t="s">
        <v>58</v>
      </c>
      <c r="E30" s="14"/>
      <c r="F30" s="15">
        <f>G40</f>
        <v>5539</v>
      </c>
      <c r="G30" s="15">
        <f>G45</f>
        <v>652</v>
      </c>
      <c r="H30" s="15">
        <v>900</v>
      </c>
      <c r="I30" s="15">
        <f>0.8*1200</f>
        <v>960</v>
      </c>
      <c r="J30" s="15">
        <f>0.3*(H30+I30)</f>
        <v>558</v>
      </c>
      <c r="K30" s="15">
        <f>SUM(F30:J30)</f>
        <v>8609</v>
      </c>
      <c r="L30" s="5"/>
    </row>
    <row r="31" spans="4:12" x14ac:dyDescent="0.25">
      <c r="D31" s="5" t="s">
        <v>57</v>
      </c>
      <c r="E31" s="5"/>
      <c r="F31" s="4">
        <f>+F32-F30</f>
        <v>-1098</v>
      </c>
      <c r="G31" s="4">
        <f>G32-G30</f>
        <v>1031</v>
      </c>
      <c r="H31" s="4">
        <f>0.1*H30</f>
        <v>90</v>
      </c>
      <c r="I31" s="4">
        <f>0.1*I30</f>
        <v>96</v>
      </c>
      <c r="J31" s="4">
        <f>ROUND(0.3*(H31+I31), 0)</f>
        <v>56</v>
      </c>
      <c r="K31" s="4">
        <f>SUM(F31:J31)</f>
        <v>175</v>
      </c>
      <c r="L31" s="5"/>
    </row>
    <row r="32" spans="4:12" x14ac:dyDescent="0.25">
      <c r="D32" s="16" t="s">
        <v>56</v>
      </c>
      <c r="E32" s="16"/>
      <c r="F32" s="17">
        <f>I40</f>
        <v>4441</v>
      </c>
      <c r="G32" s="17">
        <f>I45</f>
        <v>1683</v>
      </c>
      <c r="H32" s="17">
        <f>+H31+H30</f>
        <v>990</v>
      </c>
      <c r="I32" s="17">
        <f>+I31+I30</f>
        <v>1056</v>
      </c>
      <c r="J32" s="17">
        <f>+J31+J30</f>
        <v>614</v>
      </c>
      <c r="K32" s="17">
        <f>SUM(F32:J32)</f>
        <v>8784</v>
      </c>
      <c r="L32" s="5"/>
    </row>
    <row r="33" spans="4:12" x14ac:dyDescent="0.25">
      <c r="D33" s="5" t="s">
        <v>55</v>
      </c>
      <c r="E33" s="5"/>
      <c r="F33" s="4">
        <v>0</v>
      </c>
      <c r="G33" s="4">
        <f>G34-G32</f>
        <v>-213</v>
      </c>
      <c r="H33" s="4">
        <f>+H32/60*12</f>
        <v>198</v>
      </c>
      <c r="I33" s="4">
        <f>+I32/48*12</f>
        <v>264</v>
      </c>
      <c r="J33" s="4">
        <f>ROUND(0.3*(H33+I33), 0)</f>
        <v>139</v>
      </c>
      <c r="K33" s="4">
        <f>SUM(F33:J33)</f>
        <v>388</v>
      </c>
      <c r="L33" s="5"/>
    </row>
    <row r="34" spans="4:12" x14ac:dyDescent="0.25">
      <c r="D34" s="16" t="s">
        <v>54</v>
      </c>
      <c r="E34" s="16"/>
      <c r="F34" s="17">
        <f>+F33+F32</f>
        <v>4441</v>
      </c>
      <c r="G34" s="17">
        <f>K45</f>
        <v>1470</v>
      </c>
      <c r="H34" s="17">
        <f>+H32/60*72</f>
        <v>1188</v>
      </c>
      <c r="I34" s="17">
        <f>+I32/48*60</f>
        <v>1320</v>
      </c>
      <c r="J34" s="17">
        <f>+J33+J32</f>
        <v>753</v>
      </c>
      <c r="K34" s="17">
        <f>SUM(F34:J34)</f>
        <v>9172</v>
      </c>
      <c r="L34" s="5"/>
    </row>
    <row r="35" spans="4:12" x14ac:dyDescent="0.25">
      <c r="H35" s="5"/>
      <c r="I35" s="5"/>
      <c r="J35" s="5"/>
      <c r="K35" s="5"/>
      <c r="L35" s="5"/>
    </row>
    <row r="36" spans="4:12" x14ac:dyDescent="0.25">
      <c r="H36" s="5"/>
      <c r="I36" s="5" t="s">
        <v>46</v>
      </c>
      <c r="J36" s="5"/>
      <c r="K36" s="5"/>
      <c r="L36" s="5"/>
    </row>
    <row r="37" spans="4:12" x14ac:dyDescent="0.25">
      <c r="D37" t="s">
        <v>45</v>
      </c>
      <c r="G37" s="7">
        <f>ROUND(10/0.9, 1)</f>
        <v>11.1</v>
      </c>
      <c r="H37" s="10" t="s">
        <v>42</v>
      </c>
      <c r="I37" s="10">
        <f>ROUND(8/0.9, 1)</f>
        <v>8.9</v>
      </c>
      <c r="J37" s="5" t="s">
        <v>42</v>
      </c>
      <c r="K37" s="5"/>
      <c r="L37" s="5"/>
    </row>
    <row r="38" spans="4:12" x14ac:dyDescent="0.25">
      <c r="D38" t="s">
        <v>41</v>
      </c>
      <c r="G38" s="11">
        <f>ROUND(G37*500, 0)</f>
        <v>5550</v>
      </c>
      <c r="H38" s="12" t="s">
        <v>27</v>
      </c>
      <c r="I38" s="12">
        <f>ROUND(I37*500, 0)</f>
        <v>4450</v>
      </c>
      <c r="J38" s="5" t="s">
        <v>27</v>
      </c>
      <c r="K38" s="5"/>
      <c r="L38" s="5"/>
    </row>
    <row r="39" spans="4:12" x14ac:dyDescent="0.25">
      <c r="D39" t="s">
        <v>40</v>
      </c>
      <c r="G39" s="11">
        <f>+(G37-10)*10</f>
        <v>10.999999999999996</v>
      </c>
      <c r="H39" s="12" t="s">
        <v>27</v>
      </c>
      <c r="I39" s="12">
        <f>+(I37-8)*10</f>
        <v>9.0000000000000036</v>
      </c>
      <c r="J39" s="5" t="s">
        <v>27</v>
      </c>
      <c r="K39" s="5"/>
      <c r="L39" s="5"/>
    </row>
    <row r="40" spans="4:12" x14ac:dyDescent="0.25">
      <c r="D40" t="s">
        <v>39</v>
      </c>
      <c r="G40" s="11">
        <f>ROUND(G38-G39, 0)</f>
        <v>5539</v>
      </c>
      <c r="H40" s="12" t="s">
        <v>27</v>
      </c>
      <c r="I40" s="12">
        <f>ROUND(I38-I39, 0)</f>
        <v>4441</v>
      </c>
      <c r="J40" s="5" t="s">
        <v>27</v>
      </c>
      <c r="K40" s="5"/>
      <c r="L40" s="5"/>
    </row>
    <row r="41" spans="4:12" x14ac:dyDescent="0.25">
      <c r="G41" s="11"/>
      <c r="H41" s="12"/>
      <c r="I41" s="12" t="s">
        <v>60</v>
      </c>
      <c r="J41" s="5"/>
      <c r="K41" s="5" t="s">
        <v>44</v>
      </c>
      <c r="L41" s="5"/>
    </row>
    <row r="42" spans="4:12" x14ac:dyDescent="0.25">
      <c r="D42" t="s">
        <v>43</v>
      </c>
      <c r="G42" s="7">
        <f>ROUND(16/0.7, 1)</f>
        <v>22.9</v>
      </c>
      <c r="H42" s="12" t="s">
        <v>42</v>
      </c>
      <c r="I42" s="10">
        <f>G42</f>
        <v>22.9</v>
      </c>
      <c r="J42" s="5" t="s">
        <v>42</v>
      </c>
      <c r="K42" s="5">
        <f>14/0.7</f>
        <v>20</v>
      </c>
      <c r="L42" s="5" t="s">
        <v>42</v>
      </c>
    </row>
    <row r="43" spans="4:12" x14ac:dyDescent="0.25">
      <c r="D43" t="s">
        <v>41</v>
      </c>
      <c r="G43" s="11">
        <f>ROUND(G42*30, 1)</f>
        <v>687</v>
      </c>
      <c r="H43" s="12" t="s">
        <v>27</v>
      </c>
      <c r="I43" s="12">
        <f>ROUND(I42*30*2.5, 0)</f>
        <v>1718</v>
      </c>
      <c r="J43" s="5" t="s">
        <v>27</v>
      </c>
      <c r="K43" s="5">
        <f>+K42*30*2.5</f>
        <v>1500</v>
      </c>
      <c r="L43" s="5" t="s">
        <v>27</v>
      </c>
    </row>
    <row r="44" spans="4:12" x14ac:dyDescent="0.25">
      <c r="D44" t="s">
        <v>40</v>
      </c>
      <c r="G44" s="11">
        <f>ROUND((G42-16)*5, 0)</f>
        <v>35</v>
      </c>
      <c r="H44" s="12" t="s">
        <v>27</v>
      </c>
      <c r="I44" s="12">
        <f>G44</f>
        <v>35</v>
      </c>
      <c r="J44" s="5" t="s">
        <v>27</v>
      </c>
      <c r="K44" s="5">
        <f>+(K42-14)*5</f>
        <v>30</v>
      </c>
      <c r="L44" s="5" t="s">
        <v>27</v>
      </c>
    </row>
    <row r="45" spans="4:12" x14ac:dyDescent="0.25">
      <c r="D45" t="s">
        <v>39</v>
      </c>
      <c r="G45" s="11">
        <f>ROUND(G43-G44, 0)</f>
        <v>652</v>
      </c>
      <c r="H45" s="12" t="s">
        <v>27</v>
      </c>
      <c r="I45" s="12">
        <f>ROUND(I43-I44, 0)</f>
        <v>1683</v>
      </c>
      <c r="J45" s="5" t="s">
        <v>27</v>
      </c>
      <c r="K45" s="5">
        <f>+K43-K44</f>
        <v>1470</v>
      </c>
      <c r="L45" s="5" t="s">
        <v>27</v>
      </c>
    </row>
    <row r="46" spans="4:12" x14ac:dyDescent="0.25">
      <c r="G46" s="7"/>
      <c r="H46" s="13"/>
      <c r="I46" s="10"/>
      <c r="J46" s="5"/>
      <c r="K46" s="5"/>
      <c r="L46" s="5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többlépcsős osztó</vt:lpstr>
      <vt:lpstr>egyenértékszámos</vt:lpstr>
      <vt:lpstr>Norma alapú kalk. (2)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Katona</dc:creator>
  <cp:lastModifiedBy>HP</cp:lastModifiedBy>
  <cp:lastPrinted>2019-02-15T21:17:35Z</cp:lastPrinted>
  <dcterms:created xsi:type="dcterms:W3CDTF">2017-02-16T14:10:56Z</dcterms:created>
  <dcterms:modified xsi:type="dcterms:W3CDTF">2021-09-23T20:33:55Z</dcterms:modified>
</cp:coreProperties>
</file>